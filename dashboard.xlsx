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rajes\OneDrive\Desktop\CODING\excel\SCM\scanalysis\"/>
    </mc:Choice>
  </mc:AlternateContent>
  <xr:revisionPtr revIDLastSave="0" documentId="13_ncr:1_{65F62B3C-D6EE-4D9F-9B7B-5307D184E5E6}" xr6:coauthVersionLast="47" xr6:coauthVersionMax="47" xr10:uidLastSave="{00000000-0000-0000-0000-000000000000}"/>
  <bookViews>
    <workbookView xWindow="-108" yWindow="-108" windowWidth="23256" windowHeight="12456" xr2:uid="{AC9D92EF-6416-4452-B3B4-B36D79163283}"/>
  </bookViews>
  <sheets>
    <sheet name="Dashboard" sheetId="6" r:id="rId1"/>
    <sheet name="Inventory_Data" sheetId="1" r:id="rId2"/>
    <sheet name="Inventory_Management" sheetId="10" r:id="rId3"/>
    <sheet name="Order_Summary" sheetId="11" r:id="rId4"/>
    <sheet name="KPIs" sheetId="20" state="hidden" r:id="rId5"/>
    <sheet name="Product _Inventory_Value" sheetId="14" state="hidden" r:id="rId6"/>
    <sheet name="Top_10_Best_Seller" sheetId="16" state="hidden" r:id="rId7"/>
    <sheet name="Supplier_Lead_Time" sheetId="17" state="hidden" r:id="rId8"/>
    <sheet name="Product_Profitability" sheetId="18" state="hidden" r:id="rId9"/>
    <sheet name="Reorder_Alert_List" sheetId="19" r:id="rId10"/>
  </sheets>
  <definedNames>
    <definedName name="_xlcn.WorksheetConnection_dashboard.xlsxMain_Data1" hidden="1">Main_Data[]</definedName>
    <definedName name="ExternalData_1" localSheetId="1" hidden="1">Inventory_Data!$A$1:$J$101</definedName>
    <definedName name="Slicer_Product_Category">#N/A</definedName>
    <definedName name="Slicer_Supplier1">#N/A</definedName>
    <definedName name="Slicer_Warehouse_Location1">#N/A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s>
  <extLst>
    <ext xmlns:x14="http://schemas.microsoft.com/office/spreadsheetml/2009/9/main" uri="{876F7934-8845-4945-9796-88D515C7AA90}">
      <x14:pivotCaches>
        <pivotCache cacheId="10"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ply_chain_data_2a874a23-83e6-436b-b302-e13e7dcfdcf3" name="supply_chain_data" connection="Query - supply_chain_data"/>
          <x15:modelTable id="Main_Data" name="Main_Data" connection="WorksheetConnection_dashboard.xlsx!Main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5" i="10" l="1"/>
  <c r="G6" i="10" s="1"/>
  <c r="P2" i="1"/>
  <c r="P3" i="1"/>
  <c r="P4" i="1"/>
  <c r="P5" i="1"/>
  <c r="P6" i="1"/>
  <c r="C10" i="11" s="1" a="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C10" i="11" l="1"/>
  <c r="G13" i="11"/>
  <c r="G25" i="11"/>
  <c r="G37" i="11"/>
  <c r="G49" i="11"/>
  <c r="G61" i="11"/>
  <c r="E13" i="11"/>
  <c r="F13" i="11" s="1"/>
  <c r="E25" i="11"/>
  <c r="F25" i="11" s="1"/>
  <c r="E37" i="11"/>
  <c r="F37" i="11" s="1"/>
  <c r="E49" i="11"/>
  <c r="F49" i="11" s="1"/>
  <c r="E61" i="11"/>
  <c r="F61" i="11" s="1"/>
  <c r="G14" i="11"/>
  <c r="G26" i="11"/>
  <c r="G38" i="11"/>
  <c r="G50" i="11"/>
  <c r="G62" i="11"/>
  <c r="E14" i="11"/>
  <c r="F14" i="11" s="1"/>
  <c r="E26" i="11"/>
  <c r="F26" i="11" s="1"/>
  <c r="E50" i="11"/>
  <c r="F50" i="11" s="1"/>
  <c r="G55" i="11"/>
  <c r="G15" i="11"/>
  <c r="G27" i="11"/>
  <c r="G39" i="11"/>
  <c r="G51" i="11"/>
  <c r="G63" i="11"/>
  <c r="E15" i="11"/>
  <c r="F15" i="11" s="1"/>
  <c r="E27" i="11"/>
  <c r="F27" i="11" s="1"/>
  <c r="E39" i="11"/>
  <c r="F39" i="11" s="1"/>
  <c r="E51" i="11"/>
  <c r="F51" i="11" s="1"/>
  <c r="E63" i="11"/>
  <c r="F63" i="11" s="1"/>
  <c r="G17" i="11"/>
  <c r="G29" i="11"/>
  <c r="G53" i="11"/>
  <c r="E17" i="11"/>
  <c r="F17" i="11" s="1"/>
  <c r="G16" i="11"/>
  <c r="G28" i="11"/>
  <c r="G40" i="11"/>
  <c r="G52" i="11"/>
  <c r="E16" i="11"/>
  <c r="F16" i="11" s="1"/>
  <c r="E28" i="11"/>
  <c r="F28" i="11" s="1"/>
  <c r="E40" i="11"/>
  <c r="F40" i="11" s="1"/>
  <c r="E52" i="11"/>
  <c r="F52" i="11" s="1"/>
  <c r="G41" i="11"/>
  <c r="E29" i="11"/>
  <c r="F29" i="11" s="1"/>
  <c r="E41" i="11"/>
  <c r="F41" i="11" s="1"/>
  <c r="E53" i="11"/>
  <c r="F53" i="11" s="1"/>
  <c r="G19" i="11"/>
  <c r="G18" i="11"/>
  <c r="G30" i="11"/>
  <c r="G42" i="11"/>
  <c r="G54" i="11"/>
  <c r="E18" i="11"/>
  <c r="F18" i="11" s="1"/>
  <c r="E30" i="11"/>
  <c r="F30" i="11" s="1"/>
  <c r="E42" i="11"/>
  <c r="F42" i="11" s="1"/>
  <c r="E54" i="11"/>
  <c r="F54" i="11" s="1"/>
  <c r="G31" i="11"/>
  <c r="E55" i="11"/>
  <c r="F55" i="11" s="1"/>
  <c r="G20" i="11"/>
  <c r="G32" i="11"/>
  <c r="G44" i="11"/>
  <c r="G56" i="11"/>
  <c r="E20" i="11"/>
  <c r="F20" i="11" s="1"/>
  <c r="E32" i="11"/>
  <c r="F32" i="11" s="1"/>
  <c r="E44" i="11"/>
  <c r="F44" i="11" s="1"/>
  <c r="E56" i="11"/>
  <c r="F56" i="11" s="1"/>
  <c r="G21" i="11"/>
  <c r="G33" i="11"/>
  <c r="G45" i="11"/>
  <c r="G57" i="11"/>
  <c r="E21" i="11"/>
  <c r="F21" i="11" s="1"/>
  <c r="E33" i="11"/>
  <c r="F33" i="11" s="1"/>
  <c r="E45" i="11"/>
  <c r="F45" i="11" s="1"/>
  <c r="E57" i="11"/>
  <c r="F57" i="11" s="1"/>
  <c r="E62" i="11"/>
  <c r="F62" i="11" s="1"/>
  <c r="G43" i="11"/>
  <c r="E19" i="11"/>
  <c r="F19" i="11" s="1"/>
  <c r="E43" i="11"/>
  <c r="F43" i="11" s="1"/>
  <c r="G22" i="11"/>
  <c r="G34" i="11"/>
  <c r="G46" i="11"/>
  <c r="G58" i="11"/>
  <c r="E22" i="11"/>
  <c r="F22" i="11" s="1"/>
  <c r="E34" i="11"/>
  <c r="F34" i="11" s="1"/>
  <c r="E46" i="11"/>
  <c r="F46" i="11" s="1"/>
  <c r="E58" i="11"/>
  <c r="F58" i="11" s="1"/>
  <c r="G11" i="11"/>
  <c r="G23" i="11"/>
  <c r="G35" i="11"/>
  <c r="G47" i="11"/>
  <c r="G59" i="11"/>
  <c r="E11" i="11"/>
  <c r="F11" i="11" s="1"/>
  <c r="E23" i="11"/>
  <c r="F23" i="11" s="1"/>
  <c r="E35" i="11"/>
  <c r="F35" i="11" s="1"/>
  <c r="E47" i="11"/>
  <c r="F47" i="11" s="1"/>
  <c r="E59" i="11"/>
  <c r="F59" i="11" s="1"/>
  <c r="G12" i="11"/>
  <c r="G24" i="11"/>
  <c r="G36" i="11"/>
  <c r="G48" i="11"/>
  <c r="G60" i="11"/>
  <c r="E12" i="11"/>
  <c r="F12" i="11" s="1"/>
  <c r="E24" i="11"/>
  <c r="F24" i="11" s="1"/>
  <c r="E36" i="11"/>
  <c r="F36" i="11" s="1"/>
  <c r="E48" i="11"/>
  <c r="F48" i="11" s="1"/>
  <c r="E60" i="11"/>
  <c r="F60" i="11" s="1"/>
  <c r="E38" i="11"/>
  <c r="F38" i="11" s="1"/>
  <c r="E31" i="11"/>
  <c r="F31" i="11" s="1"/>
  <c r="B10" i="10" a="1"/>
  <c r="B10" i="10" l="1"/>
  <c r="J12" i="10"/>
  <c r="J41" i="10"/>
  <c r="J64" i="10"/>
  <c r="J92" i="10"/>
  <c r="J16" i="10"/>
  <c r="J43" i="10"/>
  <c r="J56" i="10"/>
  <c r="D6" i="10"/>
  <c r="J18" i="10"/>
  <c r="J48" i="10"/>
  <c r="J70" i="10"/>
  <c r="J97" i="10"/>
  <c r="J74" i="10"/>
  <c r="J23" i="10"/>
  <c r="J50" i="10"/>
  <c r="J73" i="10"/>
  <c r="J100" i="10"/>
  <c r="J51" i="10"/>
  <c r="J102" i="10"/>
  <c r="J24" i="10"/>
  <c r="J32" i="10"/>
  <c r="J52" i="10"/>
  <c r="J76" i="10"/>
  <c r="J103" i="10"/>
  <c r="J33" i="10"/>
  <c r="J34" i="10"/>
  <c r="J57" i="10"/>
  <c r="J82" i="10"/>
  <c r="J107" i="10"/>
  <c r="J35" i="10"/>
  <c r="J59" i="10"/>
  <c r="J85" i="10"/>
  <c r="J108" i="10"/>
  <c r="D5" i="10"/>
  <c r="J66" i="10"/>
  <c r="J80" i="10"/>
  <c r="J36" i="10"/>
  <c r="J60" i="10"/>
  <c r="J87" i="10"/>
  <c r="J109" i="10"/>
  <c r="J37" i="10"/>
  <c r="J62" i="10"/>
  <c r="J88" i="10"/>
  <c r="J39" i="10"/>
  <c r="J63" i="10"/>
  <c r="J90" i="10"/>
  <c r="J94" i="10"/>
  <c r="J105" i="10"/>
  <c r="J91" i="10"/>
  <c r="J101" i="10"/>
  <c r="J61" i="10"/>
  <c r="J26" i="10"/>
  <c r="J83" i="10"/>
  <c r="J78" i="10"/>
  <c r="J95" i="10"/>
  <c r="J28" i="10"/>
  <c r="J27" i="10"/>
  <c r="J25" i="10"/>
  <c r="J11" i="10"/>
  <c r="J17" i="10"/>
  <c r="J19" i="10"/>
  <c r="J45" i="10"/>
  <c r="J75" i="10"/>
  <c r="J14" i="10"/>
  <c r="J58" i="10"/>
  <c r="J21" i="10"/>
  <c r="J110" i="10"/>
  <c r="J29" i="10"/>
  <c r="J31" i="10"/>
  <c r="J69" i="10"/>
  <c r="J98" i="10"/>
  <c r="J49" i="10"/>
  <c r="J20" i="10"/>
  <c r="J44" i="10"/>
  <c r="J42" i="10"/>
  <c r="J68" i="10"/>
  <c r="J71" i="10"/>
  <c r="J15" i="10"/>
  <c r="J84" i="10"/>
  <c r="J53" i="10"/>
  <c r="J55" i="10"/>
  <c r="J81" i="10"/>
  <c r="J99" i="10"/>
  <c r="J104" i="10"/>
  <c r="J72" i="10"/>
  <c r="J96" i="10"/>
  <c r="J65" i="10"/>
  <c r="J67" i="10"/>
  <c r="J93" i="10"/>
  <c r="J40" i="10"/>
  <c r="J89" i="10"/>
  <c r="J46" i="10"/>
  <c r="J86" i="10"/>
  <c r="J106" i="10"/>
  <c r="J30" i="10"/>
  <c r="J47" i="10"/>
  <c r="J54" i="10"/>
  <c r="J13" i="10"/>
  <c r="J77" i="10"/>
  <c r="J79" i="10"/>
  <c r="J22" i="10"/>
  <c r="J38" i="10"/>
  <c r="G10" i="11"/>
  <c r="E10" i="11"/>
  <c r="F10" i="11" s="1"/>
  <c r="E6" i="11" l="1"/>
  <c r="E7"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9755BF-DF89-4893-B2BA-0B269C07A664}" keepAlive="1" name="ModelConnection_ExternalData_1" description="Data Model" type="5" refreshedVersion="8" minRefreshableVersion="5" saveData="1">
    <dbPr connection="Data Model Connection" command="supply_chain_data" commandType="3"/>
    <extLst>
      <ext xmlns:x15="http://schemas.microsoft.com/office/spreadsheetml/2010/11/main" uri="{DE250136-89BD-433C-8126-D09CA5730AF9}">
        <x15:connection id="" model="1"/>
      </ext>
    </extLst>
  </connection>
  <connection id="2" xr16:uid="{5B7EE356-A66A-4E1D-8C6F-A9501D611931}" name="Query - supply_chain_data" description="Connection to the 'supply_chain_data' query in the workbook." type="100" refreshedVersion="8" minRefreshableVersion="5">
    <extLst>
      <ext xmlns:x15="http://schemas.microsoft.com/office/spreadsheetml/2010/11/main" uri="{DE250136-89BD-433C-8126-D09CA5730AF9}">
        <x15:connection id="7c41047d-5506-4e2b-a98a-2a11ad97f8e9"/>
      </ext>
    </extLst>
  </connection>
  <connection id="3" xr16:uid="{1B540DB4-9979-49C4-8E0C-4C2A1326316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C6CDB600-9E40-4026-8702-E0BABF500D92}" name="WorksheetConnection_dashboard.xlsx!Main_Data" type="102" refreshedVersion="8" minRefreshableVersion="5">
    <extLst>
      <ext xmlns:x15="http://schemas.microsoft.com/office/spreadsheetml/2010/11/main" uri="{DE250136-89BD-433C-8126-D09CA5730AF9}">
        <x15:connection id="Main_Data">
          <x15:rangePr sourceName="_xlcn.WorksheetConnection_dashboard.xlsxMain_Data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Main_Data].[Restock Status].&amp;[Reorder]}"/>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<sst xmlns="http://schemas.openxmlformats.org/spreadsheetml/2006/main" count="696" uniqueCount="156">
  <si>
    <t>SKU</t>
  </si>
  <si>
    <t>Product Category</t>
  </si>
  <si>
    <t>Current Stock</t>
  </si>
  <si>
    <t>Warehouse Location</t>
  </si>
  <si>
    <t>Reorder Quantity</t>
  </si>
  <si>
    <t>Lead Time Days</t>
  </si>
  <si>
    <t>Supplier</t>
  </si>
  <si>
    <t>Unit Cost</t>
  </si>
  <si>
    <t>Unit Selling Price</t>
  </si>
  <si>
    <t>Total Units Sold</t>
  </si>
  <si>
    <t>SKU0</t>
  </si>
  <si>
    <t>Haircare</t>
  </si>
  <si>
    <t>Mumbai</t>
  </si>
  <si>
    <t>Supplier 3</t>
  </si>
  <si>
    <t>SKU1</t>
  </si>
  <si>
    <t>Skincare</t>
  </si>
  <si>
    <t>SKU2</t>
  </si>
  <si>
    <t>Supplier 1</t>
  </si>
  <si>
    <t>SKU3</t>
  </si>
  <si>
    <t>Kolkata</t>
  </si>
  <si>
    <t>Supplier 5</t>
  </si>
  <si>
    <t>SKU4</t>
  </si>
  <si>
    <t>Delhi</t>
  </si>
  <si>
    <t>SKU5</t>
  </si>
  <si>
    <t>Bangalore</t>
  </si>
  <si>
    <t>Supplier 4</t>
  </si>
  <si>
    <t>SKU6</t>
  </si>
  <si>
    <t>SKU7</t>
  </si>
  <si>
    <t>Cosmetics</t>
  </si>
  <si>
    <t>SKU8</t>
  </si>
  <si>
    <t>SKU9</t>
  </si>
  <si>
    <t>Chennai</t>
  </si>
  <si>
    <t>Supplier 2</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</si>
  <si>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</si>
  <si>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</si>
  <si>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</si>
  <si>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</si>
  <si>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</si>
  <si>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</si>
  <si>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</si>
  <si>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</si>
  <si>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</si>
  <si>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</si>
  <si>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</si>
  <si>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</si>
  <si>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</si>
  <si>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</si>
  <si>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</si>
  <si>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</si>
  <si>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</si>
  <si>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</si>
  <si>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</si>
  <si>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</si>
  <si>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</si>
  <si>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</si>
  <si>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</si>
  <si>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</si>
  <si>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</si>
  <si>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</si>
  <si>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</si>
  <si>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</si>
  <si>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</si>
  <si>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</si>
  <si>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</si>
  <si>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</si>
  <si>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</si>
  <si>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</si>
  <si>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</si>
  <si>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</si>
  <si>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</si>
  <si>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</si>
  <si>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</si>
  <si>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</si>
  <si>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</si>
  <si>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</si>
  <si>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</si>
  <si>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</si>
  <si>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</si>
  <si>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</si>
  <si>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</si>
  <si>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</si>
  <si>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</si>
  <si>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</si>
  <si>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</si>
  <si>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</si>
  <si>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</si>
  <si>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</si>
  <si>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</si>
  <si>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</si>
  <si>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</si>
  <si>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</si>
  <si>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</si>
  <si>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</si>
  <si>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</si>
  <si>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</si>
  <si>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</si>
  <si>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</si>
  <si>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</si>
  <si>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</si>
  <si>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</si>
  <si>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</si>
  <si>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</si>
  <si>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</si>
  <si>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</si>
  <si>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</si>
  <si>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</si>
  <si>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</si>
  <si>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</si>
  <si>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</si>
  <si>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</si>
  <si>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</si>
  <si>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</si>
  <si>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</si>
  <si>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</si>
  <si>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</si>
  <si>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</si>
  <si>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</si>
  <si>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</si>
  <si>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</si>
  <si>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</si>
  <si>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</si>
  <si>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</si>
  <si>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</si>
  <si>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Total Inventory Value</t>
  </si>
  <si>
    <t>Restock Status</t>
  </si>
  <si>
    <t>Gross Profit Margin</t>
  </si>
  <si>
    <t>Total Profit Generated</t>
  </si>
  <si>
    <t>Inventory Turnover Ratio</t>
  </si>
  <si>
    <t>Grand Total</t>
  </si>
  <si>
    <t>Margin Check</t>
  </si>
  <si>
    <t>Inventory Management System</t>
  </si>
  <si>
    <t>Inventory Value</t>
  </si>
  <si>
    <t>Unique Products</t>
  </si>
  <si>
    <t>Current Date</t>
  </si>
  <si>
    <t>Day of Week</t>
  </si>
  <si>
    <t>ETA(If ordered today)</t>
  </si>
  <si>
    <t>Total Order</t>
  </si>
  <si>
    <t xml:space="preserve"> Product Category</t>
  </si>
  <si>
    <t>Quantity</t>
  </si>
  <si>
    <t>Total Cost</t>
  </si>
  <si>
    <t xml:space="preserve">Supplier </t>
  </si>
  <si>
    <t>Total Order Cost</t>
  </si>
  <si>
    <t>Daily Order Quantity</t>
  </si>
  <si>
    <t>Sum of Total Inventory Value</t>
  </si>
  <si>
    <t>Row Labels</t>
  </si>
  <si>
    <t>Sum of Total Units Sold</t>
  </si>
  <si>
    <t>Average of Lead Time Days</t>
  </si>
  <si>
    <t>Count of SKU</t>
  </si>
  <si>
    <t>Profitable</t>
  </si>
  <si>
    <t>LOSS MAKER</t>
  </si>
  <si>
    <t>Reorder</t>
  </si>
  <si>
    <t>Sum of Current Stock</t>
  </si>
  <si>
    <t xml:space="preserve"> Current Stock</t>
  </si>
  <si>
    <t>Lead Time (Days)</t>
  </si>
  <si>
    <t>INVENTORY MANAGEMENT &amp; EXECUTIVE DASHBOARD</t>
  </si>
  <si>
    <t>Count of Restock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</si>
</sst>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 &quot;Days&quot;"/>
    <numFmt numFmtId="165" formatCode="_ [$₹-4009]\ * #,##0.00_ ;_ [$₹-4009]\ * \-#,##0.00_ ;_ [$₹-4009]\ * &quot;-&quot;??_ ;_ @_ "/>
    <numFmt numFmtId="166" formatCode="&quot;₹&quot;\ #,##0"/>
    <numFmt numFmtId="167" formatCode="_ [$₹-4009]\ * #,##0_ ;_ [$₹-4009]\ * \-#,##0_ ;_ [$₹-4009]\ * &quot;-&quot;??_ ;_ @_ "/>
    <numFmt numFmtId="168" formatCode="0.0"/>
    <numFmt numFmtId="169" formatCode="_ * #,##0_ ;_ * \-#,##0_ ;_ * &quot;-&quot;??_ ;_ @_ "/>
  </numFmts>
  <fonts count="8"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24"/>
      <color theme="0"/>
      <name val="Aptos Narrow"/>
      <family val="2"/>
      <scheme val="minor"/>
    </font>
    <font>
      <b/>
      <sz val="26"/>
      <color theme="0"/>
      <name val="Aptos Narrow"/>
      <family val="2"/>
      <scheme val="minor"/>
    </font>
    <font>
      <sz val="28"/>
      <color theme="0"/>
      <name val="Britannic Bold"/>
      <family val="2"/>
    </font>
    <font>
      <sz val="22"/>
      <color theme="0"/>
      <name val="Britannic Bold"/>
      <family val="2"/>
    </font>
  </fonts>
  <fills count="9">
    <fill>
      <patternFill patternType="none"/>
    </fill>
    <fill>
      <patternFill patternType="gray125"/>
    </fill>
    <fill>
      <patternFill patternType="solid">
        <fgColor theme="5" tint="-0.249977111117893"/>
        <bgColor indexed="64"/>
      </patternFill>
    </fill>
    <fill>
      <patternFill patternType="solid">
        <fgColor rgb="FFFFFF00"/>
        <bgColor indexed="64"/>
      </patternFill>
    </fill>
    <fill>
      <patternFill patternType="solid">
        <fgColor theme="3" tint="0.249977111117893"/>
        <bgColor indexed="64"/>
      </patternFill>
    </fill>
    <fill>
      <patternFill patternType="solid">
        <fgColor theme="4" tint="0.39997558519241921"/>
        <bgColor indexed="64"/>
      </patternFill>
    </fill>
    <fill>
      <patternFill patternType="solid">
        <fgColor theme="8" tint="-0.249977111117893"/>
        <bgColor indexed="64"/>
      </patternFill>
    </fill>
    <fill>
      <patternFill patternType="solid">
        <fgColor theme="0"/>
        <bgColor indexed="64"/>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9">
    <xf numFmtId="0" fontId="0" fillId="0" borderId="0" xfId="0"/>
    <xf numFmtId="164" fontId="0" fillId="0" borderId="0" xfId="0" applyNumberFormat="1"/>
    <xf numFmtId="165" fontId="0" fillId="0" borderId="0" xfId="0" applyNumberFormat="1"/>
    <xf numFmtId="9" fontId="0" fillId="0" borderId="0" xfId="1" applyFont="1"/>
    <xf numFmtId="2"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3" fillId="0" borderId="0" xfId="0" applyFont="1"/>
    <xf numFmtId="165" fontId="3" fillId="3" borderId="1" xfId="0" applyNumberFormat="1" applyFont="1" applyFill="1" applyBorder="1"/>
    <xf numFmtId="0" fontId="3" fillId="3" borderId="1" xfId="0" applyFont="1" applyFill="1" applyBorder="1"/>
    <xf numFmtId="165" fontId="3" fillId="0" borderId="0" xfId="0" applyNumberFormat="1" applyFont="1"/>
    <xf numFmtId="14" fontId="3" fillId="3" borderId="1" xfId="0" applyNumberFormat="1" applyFont="1" applyFill="1" applyBorder="1"/>
    <xf numFmtId="165" fontId="3" fillId="3" borderId="1" xfId="0" applyNumberFormat="1" applyFont="1" applyFill="1" applyBorder="1" applyAlignment="1">
      <alignment horizontal="right"/>
    </xf>
    <xf numFmtId="0" fontId="2" fillId="2" borderId="1" xfId="0" applyFont="1" applyFill="1" applyBorder="1"/>
    <xf numFmtId="167" fontId="3" fillId="3" borderId="1" xfId="0" applyNumberFormat="1" applyFont="1" applyFill="1" applyBorder="1"/>
    <xf numFmtId="0" fontId="0" fillId="5" borderId="0" xfId="0" applyFill="1"/>
    <xf numFmtId="14" fontId="0" fillId="0" borderId="0" xfId="0" applyNumberFormat="1"/>
    <xf numFmtId="168" fontId="0" fillId="0" borderId="0" xfId="0" applyNumberFormat="1"/>
    <xf numFmtId="169" fontId="0" fillId="0" borderId="0" xfId="0" applyNumberFormat="1"/>
    <xf numFmtId="0" fontId="0" fillId="7" borderId="0" xfId="0" applyFill="1"/>
    <xf numFmtId="165" fontId="0" fillId="0" borderId="0" xfId="1" applyNumberFormat="1" applyFont="1"/>
    <xf numFmtId="167" fontId="0" fillId="0" borderId="0" xfId="2" applyNumberFormat="1" applyFont="1"/>
    <xf numFmtId="0" fontId="6" fillId="0" borderId="0" xfId="0" applyFont="1" applyAlignment="1">
      <alignment horizontal="center" vertical="center"/>
    </xf>
    <xf numFmtId="0" fontId="6" fillId="0" borderId="0" xfId="0" applyFont="1" applyAlignment="1">
      <alignment horizontal="center" vertical="top"/>
    </xf>
    <xf numFmtId="0" fontId="0" fillId="8" borderId="0" xfId="0" applyFill="1"/>
    <xf numFmtId="0" fontId="7" fillId="6" borderId="0" xfId="0" applyFont="1" applyFill="1" applyAlignment="1">
      <alignment horizontal="center" vertical="center"/>
    </xf>
    <xf numFmtId="0" fontId="4" fillId="2" borderId="0" xfId="0" applyFont="1" applyFill="1" applyAlignment="1">
      <alignment horizontal="center" vertical="center"/>
    </xf>
    <xf numFmtId="0" fontId="5" fillId="4" borderId="1" xfId="0" applyFont="1" applyFill="1" applyBorder="1" applyAlignment="1">
      <alignment horizontal="center" vertical="center"/>
    </xf>
  </cellXfs>
  <cellStyles count="3">
    <cellStyle name="Comma" xfId="2" builtinId="3"/>
    <cellStyle name="Normal" xfId="0" builtinId="0"/>
    <cellStyle name="Percent" xfId="1" builtinId="5"/>
  </cellStyles>
  <dxfs count="33">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168" formatCode="0.0"/>
    </dxf>
    <dxf>
      <numFmt numFmtId="169" formatCode="_ * #,##0_ ;_ * \-#,##0_ ;_ * &quot;-&quot;??_ ;_ @_ "/>
    </dxf>
    <dxf>
      <numFmt numFmtId="169" formatCode="_ * #,##0_ ;_ * \-#,##0_ ;_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2" formatCode="0.00"/>
    </dxf>
    <dxf>
      <numFmt numFmtId="2" formatCode="0.00"/>
    </dxf>
    <dxf>
      <font>
        <b val="0"/>
        <i val="0"/>
        <strike val="0"/>
        <condense val="0"/>
        <extend val="0"/>
        <outline val="0"/>
        <shadow val="0"/>
        <u val="none"/>
        <vertAlign val="baseline"/>
        <sz val="11"/>
        <color theme="1"/>
        <name val="Aptos Narrow"/>
        <family val="2"/>
        <scheme val="minor"/>
      </font>
      <numFmt numFmtId="165" formatCode="_ [$₹-4009]\ * #,##0.00_ ;_ [$₹-4009]\ * \-#,##0.00_ ;_ [$₹-4009]\ * &quot;-&quot;??_ ;_ @_ "/>
    </dxf>
    <dxf>
      <numFmt numFmtId="165" formatCode="_ [$₹-4009]\ * #,##0.00_ ;_ [$₹-4009]\ * \-#,##0.00_ ;_ [$₹-4009]\ * &quot;-&quot;??_ ;_ @_ "/>
    </dxf>
    <dxf>
      <font>
        <b val="0"/>
        <i val="0"/>
        <strike val="0"/>
        <condense val="0"/>
        <extend val="0"/>
        <outline val="0"/>
        <shadow val="0"/>
        <u val="none"/>
        <vertAlign val="baseline"/>
        <sz val="11"/>
        <color theme="1"/>
        <name val="Aptos Narrow"/>
        <family val="2"/>
        <scheme val="minor"/>
      </fon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4" formatCode="#\ &quot;Days&quot;"/>
    </dxf>
    <dxf>
      <numFmt numFmtId="164" formatCode="#\ &quot;Days&quot;"/>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onnections" Target="connections.xml"/><Relationship Id="rId39" Type="http://schemas.openxmlformats.org/officeDocument/2006/relationships/customXml" Target="../customXml/item8.xml"/><Relationship Id="rId21" Type="http://schemas.openxmlformats.org/officeDocument/2006/relationships/pivotCacheDefinition" Target="pivotCache/pivotCacheDefinition1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3.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microsoft.com/office/2007/relationships/slicerCache" Target="slicerCaches/slicerCache2.xml"/><Relationship Id="rId28" Type="http://schemas.openxmlformats.org/officeDocument/2006/relationships/sharedStrings" Target="sharedStrings.xml"/><Relationship Id="rId36"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0.xml"/><Relationship Id="rId41"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[dashboard.xlsx]Product _Inventory_Value!Total_Category_Value</c:name>
    <c:fmtId val="5"/>
  </c:pivotSource>
  <c:chart>
    <c:title>
      <c:tx>
        <c:rich>
          <a:bodyPr rot="0" spcFirstLastPara="1" vertOverflow="ellipsis" vert="horz" wrap="square" anchor="ctr" anchorCtr="1"/>
          <a:lstStyle/>
          <a:p>
            <a:pPr algn="ctr" rtl="0">
              <a:defRPr lang="en-US" sz="1600" b="1" i="0" u="none" strike="noStrike" kern="1200" baseline="0">
                <a:solidFill>
                  <a:sysClr val="windowText" lastClr="000000"/>
                </a:solidFill>
                <a:latin typeface="+mn-lt"/>
                <a:ea typeface="+mn-ea"/>
                <a:cs typeface="+mn-cs"/>
              </a:defRPr>
            </a:pPr>
            <a:r>
              <a:rPr lang="en-US" sz="1600" b="1" i="0" u="none" strike="noStrike" kern="1200" baseline="0">
                <a:solidFill>
                  <a:sysClr val="windowText" lastClr="000000"/>
                </a:solidFill>
                <a:latin typeface="+mn-lt"/>
                <a:ea typeface="+mn-ea"/>
                <a:cs typeface="+mn-cs"/>
              </a:rPr>
              <a:t>inventory value distribution by category</a:t>
            </a:r>
          </a:p>
        </c:rich>
      </c:tx>
      <c:overlay val="0"/>
      <c:spPr>
        <a:noFill/>
        <a:ln>
          <a:noFill/>
        </a:ln>
        <a:effectLst/>
      </c:spPr>
      <c:txPr>
        <a:bodyPr rot="0" spcFirstLastPara="1" vertOverflow="ellipsis" vert="horz" wrap="square" anchor="ctr" anchorCtr="1"/>
        <a:lstStyle/>
        <a:p>
          <a:pPr algn="ctr" rtl="0">
            <a:defRPr lang="en-US"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16302C35-E8AB-4A8E-A830-0D4FBE386E8F}" type="CATEGORYNAME">
                  <a:rPr lang="en-US"/>
                  <a:pPr>
                    <a:defRPr/>
                  </a:pPr>
                  <a:t>[CATEGORY NAME]</a:t>
                </a:fld>
                <a:r>
                  <a:rPr lang="en-US"/>
                  <a:t>
</a:t>
                </a:r>
                <a:fld id="{728A5337-4057-4C76-A020-62CD5FE94717}"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31059906832837947"/>
          <c:y val="0.1800763540921021"/>
          <c:w val="0.39827592949887891"/>
          <c:h val="0.781034614991308"/>
        </c:manualLayout>
      </c:layout>
      <c:pieChart>
        <c:varyColors val="1"/>
        <c:ser>
          <c:idx val="0"/>
          <c:order val="0"/>
          <c:tx>
            <c:strRef>
              <c:f>'Product _Inventory_Value'!$C$3</c:f>
              <c:strCache>
                <c:ptCount val="1"/>
                <c:pt idx="0">
                  <c:v>Total</c:v>
                </c:pt>
              </c:strCache>
            </c:strRef>
          </c:tx>
          <c:spPr>
            <a:ln>
              <a:noFill/>
            </a:ln>
          </c:spPr>
          <c:dPt>
            <c:idx val="0"/>
            <c:bubble3D val="0"/>
            <c:explosion val="9"/>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F89-4C87-B9E3-58047487185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F89-4C87-B9E3-58047487185C}"/>
              </c:ext>
            </c:extLst>
          </c:dPt>
          <c:dPt>
            <c:idx val="2"/>
            <c:bubble3D val="0"/>
            <c:explosion val="6"/>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F89-4C87-B9E3-58047487185C}"/>
              </c:ext>
            </c:extLst>
          </c:dPt>
          <c:dLbls>
            <c:dLbl>
              <c:idx val="1"/>
              <c:tx>
                <c:rich>
                  <a:bodyPr/>
                  <a:lstStyle/>
                  <a:p>
                    <a:fld id="{16302C35-E8AB-4A8E-A830-0D4FBE386E8F}" type="CATEGORYNAME">
                      <a:rPr lang="en-US"/>
                      <a:pPr/>
                      <a:t>[CATEGORY NAME]</a:t>
                    </a:fld>
                    <a:r>
                      <a:rPr lang="en-US"/>
                      <a:t>
</a:t>
                    </a:r>
                    <a:fld id="{728A5337-4057-4C76-A020-62CD5FE94717}" type="PERCENTAGE">
                      <a:rPr lang="en-US"/>
                      <a:pPr/>
                      <a:t>[PERCENTAGE]</a:t>
                    </a:fld>
                    <a:endParaRPr lang="en-US"/>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F89-4C87-B9E3-58047487185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'Product _Inventory_Value'!$B$4:$B$7</c:f>
              <c:strCache>
                <c:ptCount val="3"/>
                <c:pt idx="0">
                  <c:v>Cosmetics</c:v>
                </c:pt>
                <c:pt idx="1">
                  <c:v>Haircare</c:v>
                </c:pt>
                <c:pt idx="2">
                  <c:v>Skincare</c:v>
                </c:pt>
              </c:strCache>
            </c:strRef>
          </c:cat>
          <c:val>
            <c:numRef>
              <c:f>'Product _Inventory_Value'!$C$4:$C$7</c:f>
              <c:numCache>
                <c:formatCode>"₹"\ #,##0</c:formatCode>
                <c:ptCount val="3"/>
                <c:pt idx="0">
                  <c:v>68134.232200000013</c:v>
                </c:pt>
                <c:pt idx="1">
                  <c:v>78938.071599999996</c:v>
                </c:pt>
                <c:pt idx="2">
                  <c:v>81712.897799999992</c:v>
                </c:pt>
              </c:numCache>
            </c:numRef>
          </c:val>
          <c:extLst>
            <c:ext xmlns:c16="http://schemas.microsoft.com/office/drawing/2014/chart" uri="{C3380CC4-5D6E-409C-BE32-E72D297353CC}">
              <c16:uniqueId val="{00000006-9F89-4C87-B9E3-58047487185C}"/>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accent5">
          <a:lumMod val="60000"/>
          <a:lumOff val="40000"/>
        </a:schemeClr>
      </a:solidFill>
      <a:round/>
      <a:extLst>
        <a:ext uri="{C807C97D-BFC1-408E-A445-0C87EB9F89A2}">
          <ask:lineSketchStyleProps xmlns:ask="http://schemas.microsoft.com/office/drawing/2018/sketchyshapes">
            <ask:type>
              <ask:lineSketchScribble/>
            </ask:type>
          </ask:lineSketchStyleProps>
        </a:ext>
      </a:extLst>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[dashboard.xlsx]Top_10_Best_Seller!Top_10_Products</c:name>
    <c:fmtId val="5"/>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solidFill>
                <a:latin typeface="+mn-lt"/>
                <a:ea typeface="+mn-ea"/>
                <a:cs typeface="+mn-cs"/>
              </a:defRPr>
            </a:pPr>
            <a:r>
              <a:rPr lang="en-US" sz="1600" b="1" i="0" u="none" strike="noStrike" kern="1200" baseline="0">
                <a:solidFill>
                  <a:sysClr val="windowText" lastClr="000000"/>
                </a:solidFill>
                <a:latin typeface="+mn-lt"/>
                <a:ea typeface="+mn-ea"/>
                <a:cs typeface="+mn-cs"/>
              </a:rPr>
              <a:t>Top 10 Best Selling SKUs</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s>
    <c:plotArea>
      <c:layout>
        <c:manualLayout>
          <c:layoutTarget val="inner"/>
          <c:xMode val="edge"/>
          <c:yMode val="edge"/>
          <c:x val="0.11021591051118611"/>
          <c:y val="0.15151024811218988"/>
          <c:w val="0.83883465459674689"/>
          <c:h val="0.63638992941416306"/>
        </c:manualLayout>
      </c:layout>
      <c:barChart>
        <c:barDir val="bar"/>
        <c:grouping val="clustered"/>
        <c:varyColors val="1"/>
        <c:ser>
          <c:idx val="0"/>
          <c:order val="0"/>
          <c:tx>
            <c:strRef>
              <c:f>Top_10_Best_Seller!$C$3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007E-4524-97B0-EA8301A38A5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007E-4524-97B0-EA8301A38A50}"/>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007E-4524-97B0-EA8301A38A50}"/>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007E-4524-97B0-EA8301A38A50}"/>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007E-4524-97B0-EA8301A38A50}"/>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007E-4524-97B0-EA8301A38A50}"/>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007E-4524-97B0-EA8301A38A50}"/>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007E-4524-97B0-EA8301A38A50}"/>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007E-4524-97B0-EA8301A38A50}"/>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007E-4524-97B0-EA8301A38A50}"/>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Top_10_Best_Seller!$B$4:$B$14</c:f>
              <c:strCache>
                <c:ptCount val="10"/>
                <c:pt idx="0">
                  <c:v>SKU91</c:v>
                </c:pt>
                <c:pt idx="1">
                  <c:v>SKU44</c:v>
                </c:pt>
                <c:pt idx="2">
                  <c:v>SKU40</c:v>
                </c:pt>
                <c:pt idx="3">
                  <c:v>SKU78</c:v>
                </c:pt>
                <c:pt idx="4">
                  <c:v>SKU11</c:v>
                </c:pt>
                <c:pt idx="5">
                  <c:v>SKU37</c:v>
                </c:pt>
                <c:pt idx="6">
                  <c:v>SKU36</c:v>
                </c:pt>
                <c:pt idx="7">
                  <c:v>SKU9</c:v>
                </c:pt>
                <c:pt idx="8">
                  <c:v>SKU94</c:v>
                </c:pt>
                <c:pt idx="9">
                  <c:v>SKU10</c:v>
                </c:pt>
              </c:strCache>
            </c:strRef>
          </c:cat>
          <c:val>
            <c:numRef>
              <c:f>Top_10_Best_Seller!$C$4:$C$14</c:f>
              <c:numCache>
                <c:formatCode>_ * #,##0_ ;_ * \-#,##0_ ;_ * "-"??_ ;_ @_ </c:formatCode>
                <c:ptCount val="10"/>
                <c:pt idx="0">
                  <c:v>916</c:v>
                </c:pt>
                <c:pt idx="1">
                  <c:v>919</c:v>
                </c:pt>
                <c:pt idx="2">
                  <c:v>933</c:v>
                </c:pt>
                <c:pt idx="3">
                  <c:v>946</c:v>
                </c:pt>
                <c:pt idx="4">
                  <c:v>960</c:v>
                </c:pt>
                <c:pt idx="5">
                  <c:v>963</c:v>
                </c:pt>
                <c:pt idx="6">
                  <c:v>963</c:v>
                </c:pt>
                <c:pt idx="7">
                  <c:v>980</c:v>
                </c:pt>
                <c:pt idx="8">
                  <c:v>987</c:v>
                </c:pt>
                <c:pt idx="9">
                  <c:v>996</c:v>
                </c:pt>
              </c:numCache>
            </c:numRef>
          </c:val>
          <c:extLst>
            <c:ext xmlns:c16="http://schemas.microsoft.com/office/drawing/2014/chart" uri="{C3380CC4-5D6E-409C-BE32-E72D297353CC}">
              <c16:uniqueId val="{00000014-007E-4524-97B0-EA8301A38A50}"/>
            </c:ext>
          </c:extLst>
        </c:ser>
        <c:dLbls>
          <c:dLblPos val="outEnd"/>
          <c:showLegendKey val="0"/>
          <c:showVal val="1"/>
          <c:showCatName val="0"/>
          <c:showSerName val="0"/>
          <c:showPercent val="0"/>
          <c:showBubbleSize val="0"/>
        </c:dLbls>
        <c:gapWidth val="32"/>
        <c:axId val="349929791"/>
        <c:axId val="578637679"/>
      </c:barChart>
      <c:catAx>
        <c:axId val="349929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78637679"/>
        <c:crosses val="autoZero"/>
        <c:auto val="1"/>
        <c:lblAlgn val="ctr"/>
        <c:lblOffset val="100"/>
        <c:noMultiLvlLbl val="0"/>
      </c:catAx>
      <c:valAx>
        <c:axId val="578637679"/>
        <c:scaling>
          <c:orientation val="minMax"/>
          <c:max val="1000"/>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Unit Sold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4992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solidFill>
        <a:schemeClr val="accent5">
          <a:lumMod val="60000"/>
          <a:lumOff val="40000"/>
        </a:schemeClr>
      </a:solidFill>
      <a:prstDash val="solid"/>
      <a:miter lim="800000"/>
      <a:extLst>
        <a:ext uri="{C807C97D-BFC1-408E-A445-0C87EB9F89A2}">
          <ask:lineSketchStyleProps xmlns:ask="http://schemas.microsoft.com/office/drawing/2018/sketchyshapes">
            <ask:type>
              <ask:lineSketchScribble/>
            </ask:type>
          </ask:lineSketchStyleProps>
        </a:ext>
      </a:extLst>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[dashboard.xlsx]Supplier_Lead_Time!Supplier_Lead_Time</c:name>
    <c:fmtId val="12"/>
  </c:pivotSource>
  <c:chart>
    <c:title>
      <c:tx>
        <c:rich>
          <a:bodyPr rot="0" spcFirstLastPara="1" vertOverflow="ellipsis" vert="horz" wrap="square" anchor="ctr" anchorCtr="1"/>
          <a:lstStyle/>
          <a:p>
            <a:pPr algn="ctr" rtl="0">
              <a:defRPr sz="1600" b="1" i="0" u="none" strike="noStrike" kern="1200" baseline="0">
                <a:solidFill>
                  <a:schemeClr val="dk1"/>
                </a:solidFill>
                <a:latin typeface="+mn-lt"/>
                <a:ea typeface="+mn-ea"/>
                <a:cs typeface="+mn-cs"/>
              </a:defRPr>
            </a:pPr>
            <a:r>
              <a:rPr lang="en-IN"/>
              <a:t>Supplier Lead Time vs. SKU Volume</a:t>
            </a:r>
          </a:p>
        </c:rich>
      </c:tx>
      <c:overlay val="0"/>
      <c:spPr>
        <a:noFill/>
        <a:ln>
          <a:noFill/>
        </a:ln>
        <a:effectLst/>
      </c:spPr>
      <c:txPr>
        <a:bodyPr rot="0" spcFirstLastPara="1" vertOverflow="ellipsis" vert="horz" wrap="square" anchor="ctr" anchorCtr="1"/>
        <a:lstStyle/>
        <a:p>
          <a:pPr algn="ctr" rtl="0">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31714785651793"/>
          <c:y val="0.19904119939553008"/>
          <c:w val="0.74953237095363079"/>
          <c:h val="0.68419987274317995"/>
        </c:manualLayout>
      </c:layout>
      <c:barChart>
        <c:barDir val="col"/>
        <c:grouping val="clustered"/>
        <c:varyColors val="0"/>
        <c:ser>
          <c:idx val="0"/>
          <c:order val="0"/>
          <c:tx>
            <c:strRef>
              <c:f>Supplier_Lead_Time!$C$3</c:f>
              <c:strCache>
                <c:ptCount val="1"/>
                <c:pt idx="0">
                  <c:v>Average of Lead Time Days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Supplier_Lead_Time!$B$4:$B$9</c:f>
              <c:strCache>
                <c:ptCount val="5"/>
                <c:pt idx="0">
                  <c:v>Supplier 1</c:v>
                </c:pt>
                <c:pt idx="1">
                  <c:v>Supplier 2</c:v>
                </c:pt>
                <c:pt idx="2">
                  <c:v>Supplier 3</c:v>
                </c:pt>
                <c:pt idx="3">
                  <c:v>Supplier 4</c:v>
                </c:pt>
                <c:pt idx="4">
                  <c:v>Supplier 5</c:v>
                </c:pt>
              </c:strCache>
            </c:strRef>
          </c:cat>
          <c:val>
            <c:numRef>
              <c:f>Supplier_Lead_Time!$C$4:$C$9</c:f>
              <c:numCache>
                <c:formatCode>0.0</c:formatCode>
                <c:ptCount val="5"/>
                <c:pt idx="0">
                  <c:v>16.777777777777779</c:v>
                </c:pt>
                <c:pt idx="1">
                  <c:v>16.227272727272727</c:v>
                </c:pt>
                <c:pt idx="2">
                  <c:v>14.333333333333334</c:v>
                </c:pt>
                <c:pt idx="3">
                  <c:v>17</c:v>
                </c:pt>
                <c:pt idx="4">
                  <c:v>14.722222222222221</c:v>
                </c:pt>
              </c:numCache>
            </c:numRef>
          </c:val>
          <c:extLst>
            <c:ext xmlns:c16="http://schemas.microsoft.com/office/drawing/2014/chart" uri="{C3380CC4-5D6E-409C-BE32-E72D297353CC}">
              <c16:uniqueId val="{00000000-6586-4109-B58E-393BB0420E00}"/>
            </c:ext>
          </c:extLst>
        </c:ser>
        <c:dLbls>
          <c:showLegendKey val="0"/>
          <c:showVal val="0"/>
          <c:showCatName val="0"/>
          <c:showSerName val="0"/>
          <c:showPercent val="0"/>
          <c:showBubbleSize val="0"/>
        </c:dLbls>
        <c:gapWidth val="219"/>
        <c:overlap val="-27"/>
        <c:axId val="349838847"/>
        <c:axId val="578632879"/>
      </c:barChart>
      <c:lineChart>
        <c:grouping val="standard"/>
        <c:varyColors val="0"/>
        <c:ser>
          <c:idx val="1"/>
          <c:order val="1"/>
          <c:tx>
            <c:strRef>
              <c:f>Supplier_Lead_Time!$D$3</c:f>
              <c:strCache>
                <c:ptCount val="1"/>
                <c:pt idx="0">
                  <c:v>Count of SKU</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Supplier_Lead_Time!$B$4:$B$9</c:f>
              <c:strCache>
                <c:ptCount val="5"/>
                <c:pt idx="0">
                  <c:v>Supplier 1</c:v>
                </c:pt>
                <c:pt idx="1">
                  <c:v>Supplier 2</c:v>
                </c:pt>
                <c:pt idx="2">
                  <c:v>Supplier 3</c:v>
                </c:pt>
                <c:pt idx="3">
                  <c:v>Supplier 4</c:v>
                </c:pt>
                <c:pt idx="4">
                  <c:v>Supplier 5</c:v>
                </c:pt>
              </c:strCache>
            </c:strRef>
          </c:cat>
          <c:val>
            <c:numRef>
              <c:f>Supplier_Lead_Time!$D$4:$D$9</c:f>
              <c:numCache>
                <c:formatCode>General</c:formatCode>
                <c:ptCount val="5"/>
                <c:pt idx="0">
                  <c:v>27</c:v>
                </c:pt>
                <c:pt idx="1">
                  <c:v>22</c:v>
                </c:pt>
                <c:pt idx="2">
                  <c:v>15</c:v>
                </c:pt>
                <c:pt idx="3">
                  <c:v>18</c:v>
                </c:pt>
                <c:pt idx="4">
                  <c:v>18</c:v>
                </c:pt>
              </c:numCache>
            </c:numRef>
          </c:val>
          <c:smooth val="0"/>
          <c:extLst>
            <c:ext xmlns:c16="http://schemas.microsoft.com/office/drawing/2014/chart" uri="{C3380CC4-5D6E-409C-BE32-E72D297353CC}">
              <c16:uniqueId val="{00000001-6586-4109-B58E-393BB0420E00}"/>
            </c:ext>
          </c:extLst>
        </c:ser>
        <c:dLbls>
          <c:showLegendKey val="0"/>
          <c:showVal val="0"/>
          <c:showCatName val="0"/>
          <c:showSerName val="0"/>
          <c:showPercent val="0"/>
          <c:showBubbleSize val="0"/>
        </c:dLbls>
        <c:marker val="1"/>
        <c:smooth val="0"/>
        <c:axId val="349729807"/>
        <c:axId val="578636719"/>
      </c:lineChart>
      <c:catAx>
        <c:axId val="349729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78636719"/>
        <c:crosses val="autoZero"/>
        <c:auto val="1"/>
        <c:lblAlgn val="ctr"/>
        <c:lblOffset val="100"/>
        <c:noMultiLvlLbl val="0"/>
      </c:catAx>
      <c:valAx>
        <c:axId val="578636719"/>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r>
                  <a:rPr lang="en-IN"/>
                  <a:t>Count of SKU</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49729807"/>
        <c:crosses val="autoZero"/>
        <c:crossBetween val="between"/>
      </c:valAx>
      <c:valAx>
        <c:axId val="578632879"/>
        <c:scaling>
          <c:orientation val="minMax"/>
        </c:scaling>
        <c:delete val="0"/>
        <c:axPos val="r"/>
        <c:title>
          <c:tx>
            <c:rich>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r>
                  <a:rPr lang="en-IN"/>
                  <a:t>Average of Lead Time(Days)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49838847"/>
        <c:crosses val="max"/>
        <c:crossBetween val="between"/>
      </c:valAx>
      <c:catAx>
        <c:axId val="349838847"/>
        <c:scaling>
          <c:orientation val="minMax"/>
        </c:scaling>
        <c:delete val="1"/>
        <c:axPos val="b"/>
        <c:numFmt formatCode="General" sourceLinked="1"/>
        <c:majorTickMark val="out"/>
        <c:minorTickMark val="none"/>
        <c:tickLblPos val="nextTo"/>
        <c:crossAx val="57863287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solidFill>
        <a:schemeClr val="accent5">
          <a:lumMod val="60000"/>
          <a:lumOff val="40000"/>
        </a:schemeClr>
      </a:solidFill>
      <a:prstDash val="solid"/>
      <a:miter lim="800000"/>
      <a:extLst>
        <a:ext uri="{C807C97D-BFC1-408E-A445-0C87EB9F89A2}">
          <ask:lineSketchStyleProps xmlns:ask="http://schemas.microsoft.com/office/drawing/2018/sketchyshapes">
            <ask:type>
              <ask:lineSketchScribble/>
            </ask:type>
          </ask:lineSketchStyleProps>
        </a:ext>
      </a:extLst>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[dashboard.xlsx]Product_Profitability!Product_Profitability</c:name>
    <c:fmtId val="5"/>
  </c:pivotSource>
  <c:chart>
    <c:title>
      <c:tx>
        <c:rich>
          <a:bodyPr rot="0" spcFirstLastPara="1" vertOverflow="ellipsis" vert="horz" wrap="square" anchor="ctr" anchorCtr="1"/>
          <a:lstStyle/>
          <a:p>
            <a:pPr algn="ctr" rtl="0">
              <a:defRPr lang="en-US" sz="1600" b="1" i="0" u="none" strike="noStrike" kern="1200" cap="all" spc="50" baseline="0">
                <a:solidFill>
                  <a:sysClr val="windowText" lastClr="000000"/>
                </a:solidFill>
                <a:latin typeface="+mn-lt"/>
                <a:ea typeface="+mn-ea"/>
                <a:cs typeface="+mn-cs"/>
              </a:defRPr>
            </a:pPr>
            <a:r>
              <a:rPr lang="en-US" sz="1600" b="1" i="0" u="none" strike="noStrike" kern="1200" baseline="0">
                <a:solidFill>
                  <a:sysClr val="windowText" lastClr="000000"/>
                </a:solidFill>
                <a:latin typeface="+mn-lt"/>
                <a:ea typeface="+mn-ea"/>
                <a:cs typeface="+mn-cs"/>
              </a:rPr>
              <a:t>Catalogue Profitability split</a:t>
            </a:r>
          </a:p>
        </c:rich>
      </c:tx>
      <c:overlay val="0"/>
      <c:spPr>
        <a:noFill/>
        <a:ln>
          <a:noFill/>
        </a:ln>
        <a:effectLst/>
      </c:spPr>
      <c:txPr>
        <a:bodyPr rot="0" spcFirstLastPara="1" vertOverflow="ellipsis" vert="horz" wrap="square" anchor="ctr" anchorCtr="1"/>
        <a:lstStyle/>
        <a:p>
          <a:pPr algn="ctr" rtl="0">
            <a:defRPr lang="en-US" sz="1600" b="1" i="0" u="none" strike="noStrike" kern="1200" cap="all" spc="50" baseline="0">
              <a:solidFill>
                <a:sysClr val="windowText" lastClr="000000"/>
              </a:solidFill>
              <a:latin typeface="+mn-lt"/>
              <a:ea typeface="+mn-ea"/>
              <a:cs typeface="+mn-cs"/>
            </a:defRPr>
          </a:pPr>
          <a:endParaRPr lang="en-US"/>
        </a:p>
      </c:txPr>
    </c:title>
    <c:autoTitleDeleted val="0"/>
    <c:pivotFmts>
      <c:pivotFmt>
        <c:idx val="0"/>
        <c:spPr>
          <a:solidFill>
            <a:srgbClr val="FF0000"/>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FF0000"/>
          </a:solidFill>
          <a:ln>
            <a:noFill/>
          </a:ln>
          <a:effectLst/>
          <a:scene3d>
            <a:camera prst="orthographicFront"/>
            <a:lightRig rig="brightRoom" dir="t"/>
          </a:scene3d>
          <a:sp3d prstMaterial="flat">
            <a:bevelT w="50800" h="101600" prst="angle"/>
            <a:contourClr>
              <a:srgbClr val="000000"/>
            </a:contourClr>
          </a:sp3d>
        </c:spPr>
        <c:dLbl>
          <c:idx val="0"/>
          <c:layout>
            <c:manualLayout>
              <c:x val="0.14166666666666666"/>
              <c:y val="-0.1250000000000000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5555555555555556"/>
              <c:y val="-0.101851851851851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FF0000"/>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FF0000"/>
          </a:solidFill>
          <a:ln>
            <a:noFill/>
          </a:ln>
          <a:effectLst/>
          <a:scene3d>
            <a:camera prst="orthographicFront"/>
            <a:lightRig rig="brightRoom" dir="t"/>
          </a:scene3d>
          <a:sp3d prstMaterial="flat">
            <a:bevelT w="50800" h="101600" prst="angle"/>
            <a:contourClr>
              <a:srgbClr val="000000"/>
            </a:contourClr>
          </a:sp3d>
        </c:spPr>
        <c:dLbl>
          <c:idx val="0"/>
          <c:layout>
            <c:manualLayout>
              <c:x val="0.14166666666666666"/>
              <c:y val="-0.1250000000000000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5555555555555556"/>
              <c:y val="-0.101851851851851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FF0000"/>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FF0000"/>
          </a:solidFill>
          <a:ln>
            <a:noFill/>
          </a:ln>
          <a:effectLst/>
          <a:scene3d>
            <a:camera prst="orthographicFront"/>
            <a:lightRig rig="brightRoom" dir="t"/>
          </a:scene3d>
          <a:sp3d prstMaterial="flat">
            <a:bevelT w="50800" h="101600" prst="angle"/>
            <a:contourClr>
              <a:srgbClr val="000000"/>
            </a:contourClr>
          </a:sp3d>
        </c:spPr>
        <c:dLbl>
          <c:idx val="0"/>
          <c:layout>
            <c:manualLayout>
              <c:x val="0.14166666666666666"/>
              <c:y val="-0.12500000000000006"/>
            </c:manualLayout>
          </c:layout>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5555555555555556"/>
              <c:y val="-0.10185185185185194"/>
            </c:manualLayout>
          </c:layout>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26494086716318"/>
          <c:y val="0.17611205975968192"/>
          <c:w val="0.39804015614799421"/>
          <c:h val="0.71399261288884797"/>
        </c:manualLayout>
      </c:layout>
      <c:doughnutChart>
        <c:varyColors val="1"/>
        <c:ser>
          <c:idx val="0"/>
          <c:order val="0"/>
          <c:tx>
            <c:strRef>
              <c:f>Product_Profitability!$C$3</c:f>
              <c:strCache>
                <c:ptCount val="1"/>
                <c:pt idx="0">
                  <c:v>Total</c:v>
                </c:pt>
              </c:strCache>
            </c:strRef>
          </c:tx>
          <c:spPr>
            <a:solidFill>
              <a:srgbClr val="FF0000"/>
            </a:solidFill>
          </c:spPr>
          <c:explosion val="2"/>
          <c:dPt>
            <c:idx val="0"/>
            <c:bubble3D val="0"/>
            <c:spPr>
              <a:solidFill>
                <a:srgbClr val="FF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7D8-477E-AB34-36348E221C9D}"/>
              </c:ext>
            </c:extLst>
          </c:dPt>
          <c:dPt>
            <c:idx val="1"/>
            <c:bubble3D val="0"/>
            <c:explosion val="5"/>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7D8-477E-AB34-36348E221C9D}"/>
              </c:ext>
            </c:extLst>
          </c:dPt>
          <c:dLbls>
            <c:dLbl>
              <c:idx val="0"/>
              <c:layout>
                <c:manualLayout>
                  <c:x val="0.14166666666666666"/>
                  <c:y val="-0.1250000000000000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7D8-477E-AB34-36348E221C9D}"/>
                </c:ext>
              </c:extLst>
            </c:dLbl>
            <c:dLbl>
              <c:idx val="1"/>
              <c:layout>
                <c:manualLayout>
                  <c:x val="-0.15555555555555556"/>
                  <c:y val="-0.1018518518518519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7D8-477E-AB34-36348E221C9D}"/>
                </c:ext>
              </c:extLst>
            </c:dLbl>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Product_Profitability!$B$4:$B$6</c:f>
              <c:strCache>
                <c:ptCount val="2"/>
                <c:pt idx="0">
                  <c:v>LOSS MAKER</c:v>
                </c:pt>
                <c:pt idx="1">
                  <c:v>Profitable</c:v>
                </c:pt>
              </c:strCache>
            </c:strRef>
          </c:cat>
          <c:val>
            <c:numRef>
              <c:f>Product_Profitability!$C$4:$C$6</c:f>
              <c:numCache>
                <c:formatCode>General</c:formatCode>
                <c:ptCount val="2"/>
                <c:pt idx="0">
                  <c:v>44</c:v>
                </c:pt>
                <c:pt idx="1">
                  <c:v>56</c:v>
                </c:pt>
              </c:numCache>
            </c:numRef>
          </c:val>
          <c:extLst>
            <c:ext xmlns:c16="http://schemas.microsoft.com/office/drawing/2014/chart" uri="{C3380CC4-5D6E-409C-BE32-E72D297353CC}">
              <c16:uniqueId val="{00000004-87D8-477E-AB34-36348E221C9D}"/>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solidFill>
        <a:schemeClr val="accent5">
          <a:lumMod val="60000"/>
          <a:lumOff val="40000"/>
        </a:schemeClr>
      </a:solidFill>
      <a:prstDash val="solid"/>
      <a:miter lim="800000"/>
      <a:extLst>
        <a:ext uri="{C807C97D-BFC1-408E-A445-0C87EB9F89A2}">
          <ask:lineSketchStyleProps xmlns:ask="http://schemas.microsoft.com/office/drawing/2018/sketchyshapes">
            <ask:type>
              <ask:lineSketchScribble/>
            </ask:type>
          </ask:lineSketchStyleProps>
        </a:ext>
      </a:extLst>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[dashboard.xlsx]Product _Inventory_Value!Total_Category_Value</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inventory</a:t>
            </a:r>
            <a:r>
              <a:rPr lang="en-US" baseline="0"/>
              <a:t> value distribution by category</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'Product _Inventory_Value'!$C$3</c:f>
              <c:strCache>
                <c:ptCount val="1"/>
                <c:pt idx="0">
                  <c:v>Total</c:v>
                </c:pt>
              </c:strCache>
            </c:strRef>
          </c:tx>
          <c:dPt>
            <c:idx val="0"/>
            <c:bubble3D val="0"/>
            <c:explosion val="1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B67E-4A63-9A71-2DB1BB1E4B4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B67E-4A63-9A71-2DB1BB1E4B4A}"/>
              </c:ext>
            </c:extLst>
          </c:dPt>
          <c:dPt>
            <c:idx val="2"/>
            <c:bubble3D val="0"/>
            <c:explosion val="4"/>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67E-4A63-9A71-2DB1BB1E4B4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_Inventory_Value'!$B$4:$B$7</c:f>
              <c:strCache>
                <c:ptCount val="3"/>
                <c:pt idx="0">
                  <c:v>Cosmetics</c:v>
                </c:pt>
                <c:pt idx="1">
                  <c:v>Haircare</c:v>
                </c:pt>
                <c:pt idx="2">
                  <c:v>Skincare</c:v>
                </c:pt>
              </c:strCache>
            </c:strRef>
          </c:cat>
          <c:val>
            <c:numRef>
              <c:f>'Product _Inventory_Value'!$C$4:$C$7</c:f>
              <c:numCache>
                <c:formatCode>"₹"\ #,##0</c:formatCode>
                <c:ptCount val="3"/>
                <c:pt idx="0">
                  <c:v>68134.232200000013</c:v>
                </c:pt>
                <c:pt idx="1">
                  <c:v>78938.071599999996</c:v>
                </c:pt>
                <c:pt idx="2">
                  <c:v>81712.897799999992</c:v>
                </c:pt>
              </c:numCache>
            </c:numRef>
          </c:val>
          <c:extLst>
            <c:ext xmlns:c16="http://schemas.microsoft.com/office/drawing/2014/chart" uri="{C3380CC4-5D6E-409C-BE32-E72D297353CC}">
              <c16:uniqueId val="{00000000-B67E-4A63-9A71-2DB1BB1E4B4A}"/>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[dashboard.xlsx]Top_10_Best_Seller!Top_10_Products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Best Selling SKUs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barChart>
        <c:barDir val="bar"/>
        <c:grouping val="clustered"/>
        <c:varyColors val="1"/>
        <c:ser>
          <c:idx val="0"/>
          <c:order val="0"/>
          <c:tx>
            <c:strRef>
              <c:f>Top_10_Best_Seller!$C$3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B86E-469D-972C-D9C3DCCFA6F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B86E-469D-972C-D9C3DCCFA6F1}"/>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86E-469D-972C-D9C3DCCFA6F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B86E-469D-972C-D9C3DCCFA6F1}"/>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B86E-469D-972C-D9C3DCCFA6F1}"/>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B86E-469D-972C-D9C3DCCFA6F1}"/>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B86E-469D-972C-D9C3DCCFA6F1}"/>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B86E-469D-972C-D9C3DCCFA6F1}"/>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B86E-469D-972C-D9C3DCCFA6F1}"/>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B86E-469D-972C-D9C3DCCFA6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Top_10_Best_Seller!$B$4:$B$14</c:f>
              <c:strCache>
                <c:ptCount val="10"/>
                <c:pt idx="0">
                  <c:v>SKU91</c:v>
                </c:pt>
                <c:pt idx="1">
                  <c:v>SKU44</c:v>
                </c:pt>
                <c:pt idx="2">
                  <c:v>SKU40</c:v>
                </c:pt>
                <c:pt idx="3">
                  <c:v>SKU78</c:v>
                </c:pt>
                <c:pt idx="4">
                  <c:v>SKU11</c:v>
                </c:pt>
                <c:pt idx="5">
                  <c:v>SKU37</c:v>
                </c:pt>
                <c:pt idx="6">
                  <c:v>SKU36</c:v>
                </c:pt>
                <c:pt idx="7">
                  <c:v>SKU9</c:v>
                </c:pt>
                <c:pt idx="8">
                  <c:v>SKU94</c:v>
                </c:pt>
                <c:pt idx="9">
                  <c:v>SKU10</c:v>
                </c:pt>
              </c:strCache>
            </c:strRef>
          </c:cat>
          <c:val>
            <c:numRef>
              <c:f>Top_10_Best_Seller!$C$4:$C$14</c:f>
              <c:numCache>
                <c:formatCode>_ * #,##0_ ;_ * \-#,##0_ ;_ * "-"??_ ;_ @_ </c:formatCode>
                <c:ptCount val="10"/>
                <c:pt idx="0">
                  <c:v>916</c:v>
                </c:pt>
                <c:pt idx="1">
                  <c:v>919</c:v>
                </c:pt>
                <c:pt idx="2">
                  <c:v>933</c:v>
                </c:pt>
                <c:pt idx="3">
                  <c:v>946</c:v>
                </c:pt>
                <c:pt idx="4">
                  <c:v>960</c:v>
                </c:pt>
                <c:pt idx="5">
                  <c:v>963</c:v>
                </c:pt>
                <c:pt idx="6">
                  <c:v>963</c:v>
                </c:pt>
                <c:pt idx="7">
                  <c:v>980</c:v>
                </c:pt>
                <c:pt idx="8">
                  <c:v>987</c:v>
                </c:pt>
                <c:pt idx="9">
                  <c:v>996</c:v>
                </c:pt>
              </c:numCache>
            </c:numRef>
          </c:val>
          <c:extLst>
            <c:ext xmlns:c16="http://schemas.microsoft.com/office/drawing/2014/chart" uri="{C3380CC4-5D6E-409C-BE32-E72D297353CC}">
              <c16:uniqueId val="{00000000-9FFB-445B-9386-71612BA5D134}"/>
            </c:ext>
          </c:extLst>
        </c:ser>
        <c:dLbls>
          <c:dLblPos val="outEnd"/>
          <c:showLegendKey val="0"/>
          <c:showVal val="1"/>
          <c:showCatName val="0"/>
          <c:showSerName val="0"/>
          <c:showPercent val="0"/>
          <c:showBubbleSize val="0"/>
        </c:dLbls>
        <c:gapWidth val="32"/>
        <c:axId val="349929791"/>
        <c:axId val="578637679"/>
      </c:barChart>
      <c:catAx>
        <c:axId val="349929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637679"/>
        <c:crosses val="autoZero"/>
        <c:auto val="1"/>
        <c:lblAlgn val="ctr"/>
        <c:lblOffset val="100"/>
        <c:noMultiLvlLbl val="0"/>
      </c:catAx>
      <c:valAx>
        <c:axId val="578637679"/>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Unit Sold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92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[dashboard.xlsx]Supplier_Lead_Time!Supplier_Lead_Time</c:name>
    <c:fmtId val="0"/>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a:t>Supplier Lead Time vs. SKU Volume</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Supplier_Lead_Time!$C$3</c:f>
              <c:strCache>
                <c:ptCount val="1"/>
                <c:pt idx="0">
                  <c:v>Average of Lead Time Days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Supplier_Lead_Time!$B$4:$B$9</c:f>
              <c:strCache>
                <c:ptCount val="5"/>
                <c:pt idx="0">
                  <c:v>Supplier 1</c:v>
                </c:pt>
                <c:pt idx="1">
                  <c:v>Supplier 2</c:v>
                </c:pt>
                <c:pt idx="2">
                  <c:v>Supplier 3</c:v>
                </c:pt>
                <c:pt idx="3">
                  <c:v>Supplier 4</c:v>
                </c:pt>
                <c:pt idx="4">
                  <c:v>Supplier 5</c:v>
                </c:pt>
              </c:strCache>
            </c:strRef>
          </c:cat>
          <c:val>
            <c:numRef>
              <c:f>Supplier_Lead_Time!$C$4:$C$9</c:f>
              <c:numCache>
                <c:formatCode>0.0</c:formatCode>
                <c:ptCount val="5"/>
                <c:pt idx="0">
                  <c:v>16.777777777777779</c:v>
                </c:pt>
                <c:pt idx="1">
                  <c:v>16.227272727272727</c:v>
                </c:pt>
                <c:pt idx="2">
                  <c:v>14.333333333333334</c:v>
                </c:pt>
                <c:pt idx="3">
                  <c:v>17</c:v>
                </c:pt>
                <c:pt idx="4">
                  <c:v>14.722222222222221</c:v>
                </c:pt>
              </c:numCache>
            </c:numRef>
          </c:val>
          <c:extLst>
            <c:ext xmlns:c16="http://schemas.microsoft.com/office/drawing/2014/chart" uri="{C3380CC4-5D6E-409C-BE32-E72D297353CC}">
              <c16:uniqueId val="{00000000-8E18-4F60-AB8D-37BE8F803A65}"/>
            </c:ext>
          </c:extLst>
        </c:ser>
        <c:dLbls>
          <c:showLegendKey val="0"/>
          <c:showVal val="0"/>
          <c:showCatName val="0"/>
          <c:showSerName val="0"/>
          <c:showPercent val="0"/>
          <c:showBubbleSize val="0"/>
        </c:dLbls>
        <c:gapWidth val="219"/>
        <c:overlap val="-27"/>
        <c:axId val="349838847"/>
        <c:axId val="578632879"/>
      </c:barChart>
      <c:lineChart>
        <c:grouping val="standard"/>
        <c:varyColors val="0"/>
        <c:ser>
          <c:idx val="1"/>
          <c:order val="1"/>
          <c:tx>
            <c:strRef>
              <c:f>Supplier_Lead_Time!$D$3</c:f>
              <c:strCache>
                <c:ptCount val="1"/>
                <c:pt idx="0">
                  <c:v>Count of SKU</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Supplier_Lead_Time!$B$4:$B$9</c:f>
              <c:strCache>
                <c:ptCount val="5"/>
                <c:pt idx="0">
                  <c:v>Supplier 1</c:v>
                </c:pt>
                <c:pt idx="1">
                  <c:v>Supplier 2</c:v>
                </c:pt>
                <c:pt idx="2">
                  <c:v>Supplier 3</c:v>
                </c:pt>
                <c:pt idx="3">
                  <c:v>Supplier 4</c:v>
                </c:pt>
                <c:pt idx="4">
                  <c:v>Supplier 5</c:v>
                </c:pt>
              </c:strCache>
            </c:strRef>
          </c:cat>
          <c:val>
            <c:numRef>
              <c:f>Supplier_Lead_Time!$D$4:$D$9</c:f>
              <c:numCache>
                <c:formatCode>General</c:formatCode>
                <c:ptCount val="5"/>
                <c:pt idx="0">
                  <c:v>27</c:v>
                </c:pt>
                <c:pt idx="1">
                  <c:v>22</c:v>
                </c:pt>
                <c:pt idx="2">
                  <c:v>15</c:v>
                </c:pt>
                <c:pt idx="3">
                  <c:v>18</c:v>
                </c:pt>
                <c:pt idx="4">
                  <c:v>18</c:v>
                </c:pt>
              </c:numCache>
            </c:numRef>
          </c:val>
          <c:smooth val="0"/>
          <c:extLst>
            <c:ext xmlns:c16="http://schemas.microsoft.com/office/drawing/2014/chart" uri="{C3380CC4-5D6E-409C-BE32-E72D297353CC}">
              <c16:uniqueId val="{00000001-8E18-4F60-AB8D-37BE8F803A65}"/>
            </c:ext>
          </c:extLst>
        </c:ser>
        <c:dLbls>
          <c:showLegendKey val="0"/>
          <c:showVal val="0"/>
          <c:showCatName val="0"/>
          <c:showSerName val="0"/>
          <c:showPercent val="0"/>
          <c:showBubbleSize val="0"/>
        </c:dLbls>
        <c:marker val="1"/>
        <c:smooth val="0"/>
        <c:axId val="349729807"/>
        <c:axId val="578636719"/>
      </c:lineChart>
      <c:catAx>
        <c:axId val="349729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636719"/>
        <c:crosses val="autoZero"/>
        <c:auto val="1"/>
        <c:lblAlgn val="ctr"/>
        <c:lblOffset val="100"/>
        <c:noMultiLvlLbl val="0"/>
      </c:catAx>
      <c:valAx>
        <c:axId val="578636719"/>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a:t>
                </a:r>
                <a:r>
                  <a:rPr lang="en-IN" baseline="0"/>
                  <a:t> of SKU</a:t>
                </a: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729807"/>
        <c:crosses val="autoZero"/>
        <c:crossBetween val="between"/>
      </c:valAx>
      <c:valAx>
        <c:axId val="578632879"/>
        <c:scaling>
          <c:orientation val="minMax"/>
        </c:scaling>
        <c:delete val="0"/>
        <c:axPos val="r"/>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Average of Lead Time(Days)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838847"/>
        <c:crosses val="max"/>
        <c:crossBetween val="between"/>
      </c:valAx>
      <c:catAx>
        <c:axId val="349838847"/>
        <c:scaling>
          <c:orientation val="minMax"/>
        </c:scaling>
        <c:delete val="1"/>
        <c:axPos val="b"/>
        <c:numFmt formatCode="General" sourceLinked="1"/>
        <c:majorTickMark val="out"/>
        <c:minorTickMark val="none"/>
        <c:tickLblPos val="nextTo"/>
        <c:crossAx val="57863287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[dashboard.xlsx]Product_Profitability!Product_Profitability</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Catalogue Profitability</a:t>
            </a:r>
            <a:r>
              <a:rPr lang="en-US" baseline="0"/>
              <a:t> split</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FF0000"/>
          </a:solidFill>
          <a:ln>
            <a:noFill/>
          </a:ln>
          <a:effectLst/>
          <a:scene3d>
            <a:camera prst="orthographicFront"/>
            <a:lightRig rig="brightRoom" dir="t"/>
          </a:scene3d>
          <a:sp3d prstMaterial="flat">
            <a:bevelT w="50800" h="101600" prst="angle"/>
            <a:contourClr>
              <a:srgbClr val="000000"/>
            </a:contourClr>
          </a:sp3d>
        </c:spPr>
        <c:dLbl>
          <c:idx val="0"/>
          <c:layout>
            <c:manualLayout>
              <c:x val="0.14166666666666666"/>
              <c:y val="-0.1250000000000000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5555555555555556"/>
              <c:y val="-0.101851851851851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Product_Profitability!$C$3</c:f>
              <c:strCache>
                <c:ptCount val="1"/>
                <c:pt idx="0">
                  <c:v>Total</c:v>
                </c:pt>
              </c:strCache>
            </c:strRef>
          </c:tx>
          <c:spPr>
            <a:solidFill>
              <a:srgbClr val="FF0000"/>
            </a:solidFill>
          </c:spPr>
          <c:dPt>
            <c:idx val="0"/>
            <c:bubble3D val="0"/>
            <c:spPr>
              <a:solidFill>
                <a:srgbClr val="FF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B2CD-44DB-94F7-EE08E85BC7C7}"/>
              </c:ext>
            </c:extLst>
          </c:dPt>
          <c:dPt>
            <c:idx val="1"/>
            <c:bubble3D val="0"/>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2CD-44DB-94F7-EE08E85BC7C7}"/>
              </c:ext>
            </c:extLst>
          </c:dPt>
          <c:dLbls>
            <c:dLbl>
              <c:idx val="0"/>
              <c:layout>
                <c:manualLayout>
                  <c:x val="0.14166666666666666"/>
                  <c:y val="-0.1250000000000000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2CD-44DB-94F7-EE08E85BC7C7}"/>
                </c:ext>
              </c:extLst>
            </c:dLbl>
            <c:dLbl>
              <c:idx val="1"/>
              <c:layout>
                <c:manualLayout>
                  <c:x val="-0.15555555555555556"/>
                  <c:y val="-0.101851851851851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2CD-44DB-94F7-EE08E85BC7C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Product_Profitability!$B$4:$B$6</c:f>
              <c:strCache>
                <c:ptCount val="2"/>
                <c:pt idx="0">
                  <c:v>LOSS MAKER</c:v>
                </c:pt>
                <c:pt idx="1">
                  <c:v>Profitable</c:v>
                </c:pt>
              </c:strCache>
            </c:strRef>
          </c:cat>
          <c:val>
            <c:numRef>
              <c:f>Product_Profitability!$C$4:$C$6</c:f>
              <c:numCache>
                <c:formatCode>General</c:formatCode>
                <c:ptCount val="2"/>
                <c:pt idx="0">
                  <c:v>44</c:v>
                </c:pt>
                <c:pt idx="1">
                  <c:v>56</c:v>
                </c:pt>
              </c:numCache>
            </c:numRef>
          </c:val>
          <c:extLst>
            <c:ext xmlns:c16="http://schemas.microsoft.com/office/drawing/2014/chart" uri="{C3380CC4-5D6E-409C-BE32-E72D297353CC}">
              <c16:uniqueId val="{00000000-B2CD-44DB-94F7-EE08E85BC7C7}"/>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8</xdr:col>
      <xdr:colOff>114300</xdr:colOff>
      <xdr:row>13</xdr:row>
      <xdr:rowOff>83821</xdr:rowOff>
    </xdr:from>
    <xdr:to>
      <xdr:col>11</xdr:col>
      <xdr:colOff>548640</xdr:colOff>
      <xdr:row>23</xdr:row>
      <xdr:rowOff>76200</xdr:rowOff>
    </xdr:to>
    <mc:AlternateContent xmlns:mc="http://schemas.openxmlformats.org/markup-compatibility/2006" xmlns:a14="http://schemas.microsoft.com/office/drawing/2010/main">
      <mc:Choice Requires="a14">
        <xdr:graphicFrame macro="">
          <xdr:nvGraphicFramePr>
            <xdr:cNvPr id="7" name="Warehouse Location 1">
              <a:extLst>
                <a:ext uri="{FF2B5EF4-FFF2-40B4-BE49-F238E27FC236}">
                  <a16:creationId xmlns:a16="http://schemas.microsoft.com/office/drawing/2014/main" id="{E64EA17A-7DC1-4387-A943-9041FFA211C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Warehouse Location 1"/>
            </a:graphicData>
          </a:graphic>
        </xdr:graphicFrame>
      </mc:Choice>
      <mc:Fallback xmlns="">
        <xdr:sp macro="" textlink="">
          <xdr:nvSpPr>
            <xdr:cNvPr id="0" name=""/>
            <xdr:cNvSpPr>
              <a:spLocks noTextEdit="1"/>
            </xdr:cNvSpPr>
          </xdr:nvSpPr>
          <xdr:spPr>
            <a:xfrm>
              <a:off x="4991100" y="2194561"/>
              <a:ext cx="2263140" cy="1821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9</xdr:col>
      <xdr:colOff>281940</xdr:colOff>
      <xdr:row>26</xdr:row>
      <xdr:rowOff>129540</xdr:rowOff>
    </xdr:from>
    <xdr:to>
      <xdr:col>14</xdr:col>
      <xdr:colOff>259080</xdr:colOff>
      <xdr:row>33</xdr:row>
      <xdr:rowOff>167639</xdr:rowOff>
    </xdr:to>
    <mc:AlternateContent xmlns:mc="http://schemas.openxmlformats.org/markup-compatibility/2006" xmlns:a14="http://schemas.microsoft.com/office/drawing/2010/main">
      <mc:Choice Requires="a14">
        <xdr:graphicFrame macro="">
          <xdr:nvGraphicFramePr>
            <xdr:cNvPr id="8" name="Product Category">
              <a:extLst>
                <a:ext uri="{FF2B5EF4-FFF2-40B4-BE49-F238E27FC236}">
                  <a16:creationId xmlns:a16="http://schemas.microsoft.com/office/drawing/2014/main" id="{C3D115E8-4C25-4DE1-AF26-7796CA1C145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5768340" y="4617720"/>
              <a:ext cx="3025140" cy="1318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11</xdr:col>
      <xdr:colOff>579120</xdr:colOff>
      <xdr:row>13</xdr:row>
      <xdr:rowOff>76200</xdr:rowOff>
    </xdr:from>
    <xdr:to>
      <xdr:col>15</xdr:col>
      <xdr:colOff>396240</xdr:colOff>
      <xdr:row>23</xdr:row>
      <xdr:rowOff>83820</xdr:rowOff>
    </xdr:to>
    <mc:AlternateContent xmlns:mc="http://schemas.openxmlformats.org/markup-compatibility/2006" xmlns:a14="http://schemas.microsoft.com/office/drawing/2010/main">
      <mc:Choice Requires="a14">
        <xdr:graphicFrame macro="">
          <xdr:nvGraphicFramePr>
            <xdr:cNvPr id="9" name="Supplier 1">
              <a:extLst>
                <a:ext uri="{FF2B5EF4-FFF2-40B4-BE49-F238E27FC236}">
                  <a16:creationId xmlns:a16="http://schemas.microsoft.com/office/drawing/2014/main" id="{181CBE0A-F315-414C-9AB6-979C56E43B8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upplier 1"/>
            </a:graphicData>
          </a:graphic>
        </xdr:graphicFrame>
      </mc:Choice>
      <mc:Fallback xmlns="">
        <xdr:sp macro="" textlink="">
          <xdr:nvSpPr>
            <xdr:cNvPr id="0" name=""/>
            <xdr:cNvSpPr>
              <a:spLocks noTextEdit="1"/>
            </xdr:cNvSpPr>
          </xdr:nvSpPr>
          <xdr:spPr>
            <a:xfrm>
              <a:off x="7284720" y="2186940"/>
              <a:ext cx="2255520" cy="1836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350520</xdr:colOff>
      <xdr:row>4</xdr:row>
      <xdr:rowOff>30480</xdr:rowOff>
    </xdr:from>
    <xdr:to>
      <xdr:col>4</xdr:col>
      <xdr:colOff>342900</xdr:colOff>
      <xdr:row>9</xdr:row>
      <xdr:rowOff>76200</xdr:rowOff>
    </xdr:to>
    <xdr:sp macro="" textlink="">
      <xdr:nvSpPr>
        <xdr:cNvPr id="14" name="Rectangle: Rounded Corners 13">
          <a:extLst>
            <a:ext uri="{FF2B5EF4-FFF2-40B4-BE49-F238E27FC236}">
              <a16:creationId xmlns:a16="http://schemas.microsoft.com/office/drawing/2014/main" id="{29B75A3C-8113-2594-5553-ED456FD41558}"/>
            </a:ext>
          </a:extLst>
        </xdr:cNvPr>
        <xdr:cNvSpPr/>
      </xdr:nvSpPr>
      <xdr:spPr>
        <a:xfrm>
          <a:off x="350520" y="762000"/>
          <a:ext cx="2430780" cy="960120"/>
        </a:xfrm>
        <a:prstGeom prst="roundRect">
          <a:avLst/>
        </a:prstGeom>
        <a:solidFill>
          <a:schemeClr val="accent5">
            <a:lumMod val="20000"/>
            <a:lumOff val="80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latin typeface="+mn-lt"/>
              <a:ea typeface="+mn-ea"/>
              <a:cs typeface="+mn-cs"/>
            </a:rPr>
            <a:t>TOTAL</a:t>
          </a:r>
          <a:r>
            <a:rPr lang="en-US" sz="1600" b="1" u="none" baseline="0">
              <a:solidFill>
                <a:sysClr val="windowText" lastClr="000000"/>
              </a:solidFill>
            </a:rPr>
            <a:t> INVENTORY VALUE</a:t>
          </a:r>
          <a:endParaRPr lang="en-US" sz="1600" b="1" u="none">
            <a:solidFill>
              <a:sysClr val="windowText" lastClr="000000"/>
            </a:solidFill>
          </a:endParaRPr>
        </a:p>
      </xdr:txBody>
    </xdr:sp>
    <xdr:clientData/>
  </xdr:twoCellAnchor>
  <xdr:twoCellAnchor>
    <xdr:from>
      <xdr:col>0</xdr:col>
      <xdr:colOff>350520</xdr:colOff>
      <xdr:row>6</xdr:row>
      <xdr:rowOff>60960</xdr:rowOff>
    </xdr:from>
    <xdr:to>
      <xdr:col>4</xdr:col>
      <xdr:colOff>335280</xdr:colOff>
      <xdr:row>8</xdr:row>
      <xdr:rowOff>99060</xdr:rowOff>
    </xdr:to>
    <xdr:sp macro="" textlink="KPIs!B3">
      <xdr:nvSpPr>
        <xdr:cNvPr id="16" name="TextBox 15">
          <a:extLst>
            <a:ext uri="{FF2B5EF4-FFF2-40B4-BE49-F238E27FC236}">
              <a16:creationId xmlns:a16="http://schemas.microsoft.com/office/drawing/2014/main" id="{C718BAE3-B595-D4CD-6EF3-9BF36CFA0389}"/>
            </a:ext>
          </a:extLst>
        </xdr:cNvPr>
        <xdr:cNvSpPr txBox="1"/>
      </xdr:nvSpPr>
      <xdr:spPr>
        <a:xfrm>
          <a:off x="350520" y="1158240"/>
          <a:ext cx="24231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14DF0-5CFB-49A8-928F-7439A551DAE8}" type="TxLink">
            <a:rPr lang="en-US" sz="3200" b="1" i="0" u="none" strike="noStrike">
              <a:solidFill>
                <a:srgbClr val="000000"/>
              </a:solidFill>
              <a:latin typeface="Aptos Narrow"/>
            </a:rPr>
            <a:pPr algn="ctr"/>
            <a:t>₹ 2,28,785</a:t>
          </a:fld>
          <a:endParaRPr lang="en-IN" sz="3200" b="1" i="0" u="none" strike="noStrike">
            <a:solidFill>
              <a:srgbClr val="000000"/>
            </a:solidFill>
            <a:latin typeface="Aptos Narrow"/>
          </a:endParaRPr>
        </a:p>
      </xdr:txBody>
    </xdr:sp>
    <xdr:clientData/>
  </xdr:twoCellAnchor>
  <xdr:twoCellAnchor>
    <xdr:from>
      <xdr:col>5</xdr:col>
      <xdr:colOff>106680</xdr:colOff>
      <xdr:row>4</xdr:row>
      <xdr:rowOff>38100</xdr:rowOff>
    </xdr:from>
    <xdr:to>
      <xdr:col>9</xdr:col>
      <xdr:colOff>99060</xdr:colOff>
      <xdr:row>9</xdr:row>
      <xdr:rowOff>83820</xdr:rowOff>
    </xdr:to>
    <xdr:sp macro="" textlink="">
      <xdr:nvSpPr>
        <xdr:cNvPr id="17" name="Rectangle: Rounded Corners 16">
          <a:extLst>
            <a:ext uri="{FF2B5EF4-FFF2-40B4-BE49-F238E27FC236}">
              <a16:creationId xmlns:a16="http://schemas.microsoft.com/office/drawing/2014/main" id="{E2E4F20A-E02C-BCAF-44B1-3159A1730E08}"/>
            </a:ext>
          </a:extLst>
        </xdr:cNvPr>
        <xdr:cNvSpPr/>
      </xdr:nvSpPr>
      <xdr:spPr>
        <a:xfrm>
          <a:off x="3154680" y="769620"/>
          <a:ext cx="2430780" cy="960120"/>
        </a:xfrm>
        <a:prstGeom prst="roundRect">
          <a:avLst/>
        </a:prstGeom>
        <a:solidFill>
          <a:schemeClr val="accent5">
            <a:lumMod val="20000"/>
            <a:lumOff val="80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ysClr val="windowText" lastClr="000000"/>
              </a:solidFill>
              <a:latin typeface="+mn-lt"/>
              <a:ea typeface="+mn-ea"/>
              <a:cs typeface="+mn-cs"/>
            </a:rPr>
            <a:t>TOTAL PHYSICAL STOCK</a:t>
          </a:r>
        </a:p>
      </xdr:txBody>
    </xdr:sp>
    <xdr:clientData/>
  </xdr:twoCellAnchor>
  <xdr:twoCellAnchor>
    <xdr:from>
      <xdr:col>5</xdr:col>
      <xdr:colOff>106680</xdr:colOff>
      <xdr:row>6</xdr:row>
      <xdr:rowOff>68580</xdr:rowOff>
    </xdr:from>
    <xdr:to>
      <xdr:col>9</xdr:col>
      <xdr:colOff>91440</xdr:colOff>
      <xdr:row>8</xdr:row>
      <xdr:rowOff>106680</xdr:rowOff>
    </xdr:to>
    <xdr:sp macro="" textlink="KPIs!$D$3">
      <xdr:nvSpPr>
        <xdr:cNvPr id="18" name="TextBox 17">
          <a:extLst>
            <a:ext uri="{FF2B5EF4-FFF2-40B4-BE49-F238E27FC236}">
              <a16:creationId xmlns:a16="http://schemas.microsoft.com/office/drawing/2014/main" id="{367F2471-4547-2B02-7C1A-CF76F84A37D2}"/>
            </a:ext>
          </a:extLst>
        </xdr:cNvPr>
        <xdr:cNvSpPr txBox="1"/>
      </xdr:nvSpPr>
      <xdr:spPr>
        <a:xfrm>
          <a:off x="3154680" y="1165860"/>
          <a:ext cx="24231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F10D5FB-DF38-453F-8FDA-93F069200044}" type="TxLink">
            <a:rPr lang="en-US" sz="3200" b="1" i="0" u="none" strike="noStrike">
              <a:solidFill>
                <a:srgbClr val="000000"/>
              </a:solidFill>
              <a:latin typeface="Aptos Narrow"/>
              <a:ea typeface="+mn-ea"/>
              <a:cs typeface="+mn-cs"/>
            </a:rPr>
            <a:pPr marL="0" indent="0" algn="ctr"/>
            <a:t>4777</a:t>
          </a:fld>
          <a:endParaRPr lang="en-IN" sz="3200" b="1" i="0" u="none" strike="noStrike">
            <a:solidFill>
              <a:srgbClr val="000000"/>
            </a:solidFill>
            <a:latin typeface="Aptos Narrow"/>
            <a:ea typeface="+mn-ea"/>
            <a:cs typeface="+mn-cs"/>
          </a:endParaRPr>
        </a:p>
      </xdr:txBody>
    </xdr:sp>
    <xdr:clientData/>
  </xdr:twoCellAnchor>
  <xdr:twoCellAnchor>
    <xdr:from>
      <xdr:col>9</xdr:col>
      <xdr:colOff>388620</xdr:colOff>
      <xdr:row>4</xdr:row>
      <xdr:rowOff>38100</xdr:rowOff>
    </xdr:from>
    <xdr:to>
      <xdr:col>13</xdr:col>
      <xdr:colOff>381000</xdr:colOff>
      <xdr:row>9</xdr:row>
      <xdr:rowOff>83820</xdr:rowOff>
    </xdr:to>
    <xdr:sp macro="" textlink="">
      <xdr:nvSpPr>
        <xdr:cNvPr id="19" name="Rectangle: Rounded Corners 18">
          <a:extLst>
            <a:ext uri="{FF2B5EF4-FFF2-40B4-BE49-F238E27FC236}">
              <a16:creationId xmlns:a16="http://schemas.microsoft.com/office/drawing/2014/main" id="{357A749B-5D13-601C-B733-320774ECACEB}"/>
            </a:ext>
          </a:extLst>
        </xdr:cNvPr>
        <xdr:cNvSpPr/>
      </xdr:nvSpPr>
      <xdr:spPr>
        <a:xfrm>
          <a:off x="5875020" y="769620"/>
          <a:ext cx="2430780" cy="960120"/>
        </a:xfrm>
        <a:prstGeom prst="roundRect">
          <a:avLst/>
        </a:prstGeom>
        <a:solidFill>
          <a:schemeClr val="accent5">
            <a:lumMod val="20000"/>
            <a:lumOff val="80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ysClr val="windowText" lastClr="000000"/>
              </a:solidFill>
              <a:latin typeface="+mn-lt"/>
              <a:ea typeface="+mn-ea"/>
              <a:cs typeface="+mn-cs"/>
            </a:rPr>
            <a:t>TOTAL ACTIVE SKUs</a:t>
          </a:r>
        </a:p>
      </xdr:txBody>
    </xdr:sp>
    <xdr:clientData/>
  </xdr:twoCellAnchor>
  <xdr:twoCellAnchor>
    <xdr:from>
      <xdr:col>9</xdr:col>
      <xdr:colOff>388620</xdr:colOff>
      <xdr:row>6</xdr:row>
      <xdr:rowOff>68580</xdr:rowOff>
    </xdr:from>
    <xdr:to>
      <xdr:col>13</xdr:col>
      <xdr:colOff>373380</xdr:colOff>
      <xdr:row>8</xdr:row>
      <xdr:rowOff>106680</xdr:rowOff>
    </xdr:to>
    <xdr:sp macro="" textlink="KPIs!$J$3">
      <xdr:nvSpPr>
        <xdr:cNvPr id="20" name="TextBox 19">
          <a:extLst>
            <a:ext uri="{FF2B5EF4-FFF2-40B4-BE49-F238E27FC236}">
              <a16:creationId xmlns:a16="http://schemas.microsoft.com/office/drawing/2014/main" id="{E8D9C278-6E7B-FD87-D7A3-CE4DADF0E1E5}"/>
            </a:ext>
          </a:extLst>
        </xdr:cNvPr>
        <xdr:cNvSpPr txBox="1"/>
      </xdr:nvSpPr>
      <xdr:spPr>
        <a:xfrm>
          <a:off x="5875020" y="1165860"/>
          <a:ext cx="24231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1DF3D1C-4BF5-4912-BCE2-1A2707F1F159}" type="TxLink">
            <a:rPr lang="en-US" sz="3200" b="1" i="0" u="none" strike="noStrike">
              <a:solidFill>
                <a:srgbClr val="000000"/>
              </a:solidFill>
              <a:latin typeface="Aptos Narrow"/>
              <a:ea typeface="+mn-ea"/>
              <a:cs typeface="+mn-cs"/>
            </a:rPr>
            <a:pPr marL="0" indent="0" algn="ctr"/>
            <a:t>100</a:t>
          </a:fld>
          <a:endParaRPr lang="en-IN" sz="3200" b="1" i="0" u="none" strike="noStrike">
            <a:solidFill>
              <a:srgbClr val="000000"/>
            </a:solidFill>
            <a:latin typeface="Aptos Narrow"/>
            <a:ea typeface="+mn-ea"/>
            <a:cs typeface="+mn-cs"/>
          </a:endParaRPr>
        </a:p>
      </xdr:txBody>
    </xdr:sp>
    <xdr:clientData/>
  </xdr:twoCellAnchor>
  <xdr:twoCellAnchor>
    <xdr:from>
      <xdr:col>18</xdr:col>
      <xdr:colOff>342900</xdr:colOff>
      <xdr:row>4</xdr:row>
      <xdr:rowOff>38100</xdr:rowOff>
    </xdr:from>
    <xdr:to>
      <xdr:col>22</xdr:col>
      <xdr:colOff>335280</xdr:colOff>
      <xdr:row>9</xdr:row>
      <xdr:rowOff>83820</xdr:rowOff>
    </xdr:to>
    <xdr:sp macro="" textlink="">
      <xdr:nvSpPr>
        <xdr:cNvPr id="23" name="Rectangle: Rounded Corners 22">
          <a:extLst>
            <a:ext uri="{FF2B5EF4-FFF2-40B4-BE49-F238E27FC236}">
              <a16:creationId xmlns:a16="http://schemas.microsoft.com/office/drawing/2014/main" id="{4AA50F93-CA11-1A57-F2F0-80A57F2CD642}"/>
            </a:ext>
          </a:extLst>
        </xdr:cNvPr>
        <xdr:cNvSpPr/>
      </xdr:nvSpPr>
      <xdr:spPr>
        <a:xfrm>
          <a:off x="11315700" y="769620"/>
          <a:ext cx="2430780" cy="960120"/>
        </a:xfrm>
        <a:prstGeom prst="roundRect">
          <a:avLst/>
        </a:prstGeom>
        <a:solidFill>
          <a:schemeClr val="accent5">
            <a:lumMod val="20000"/>
            <a:lumOff val="80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ysClr val="windowText" lastClr="000000"/>
              </a:solidFill>
              <a:latin typeface="+mn-lt"/>
              <a:ea typeface="+mn-ea"/>
              <a:cs typeface="+mn-cs"/>
            </a:rPr>
            <a:t>SUPPLIER LEAD TIME</a:t>
          </a:r>
        </a:p>
      </xdr:txBody>
    </xdr:sp>
    <xdr:clientData/>
  </xdr:twoCellAnchor>
  <xdr:twoCellAnchor>
    <xdr:from>
      <xdr:col>18</xdr:col>
      <xdr:colOff>342900</xdr:colOff>
      <xdr:row>6</xdr:row>
      <xdr:rowOff>68580</xdr:rowOff>
    </xdr:from>
    <xdr:to>
      <xdr:col>22</xdr:col>
      <xdr:colOff>327660</xdr:colOff>
      <xdr:row>8</xdr:row>
      <xdr:rowOff>106680</xdr:rowOff>
    </xdr:to>
    <xdr:sp macro="" textlink="KPIs!$F$3">
      <xdr:nvSpPr>
        <xdr:cNvPr id="24" name="TextBox 23">
          <a:extLst>
            <a:ext uri="{FF2B5EF4-FFF2-40B4-BE49-F238E27FC236}">
              <a16:creationId xmlns:a16="http://schemas.microsoft.com/office/drawing/2014/main" id="{51C9D8AB-8EB1-960D-6B03-42D4072B870F}"/>
            </a:ext>
          </a:extLst>
        </xdr:cNvPr>
        <xdr:cNvSpPr txBox="1"/>
      </xdr:nvSpPr>
      <xdr:spPr>
        <a:xfrm>
          <a:off x="11315700" y="1165860"/>
          <a:ext cx="24231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CCCF43E-A66E-47AC-85B7-A4DD780C5F2E}" type="TxLink">
            <a:rPr lang="en-US" sz="3200" b="1" i="0" u="none" strike="noStrike">
              <a:solidFill>
                <a:srgbClr val="000000"/>
              </a:solidFill>
              <a:latin typeface="Aptos Narrow"/>
              <a:ea typeface="+mn-ea"/>
              <a:cs typeface="+mn-cs"/>
            </a:rPr>
            <a:pPr marL="0" indent="0" algn="ctr"/>
            <a:t>16.0</a:t>
          </a:fld>
          <a:endParaRPr lang="en-IN" sz="3200" b="1" i="0" u="none" strike="noStrike">
            <a:solidFill>
              <a:srgbClr val="000000"/>
            </a:solidFill>
            <a:latin typeface="Aptos Narrow"/>
            <a:ea typeface="+mn-ea"/>
            <a:cs typeface="+mn-cs"/>
          </a:endParaRPr>
        </a:p>
      </xdr:txBody>
    </xdr:sp>
    <xdr:clientData/>
  </xdr:twoCellAnchor>
  <xdr:twoCellAnchor>
    <xdr:from>
      <xdr:col>14</xdr:col>
      <xdr:colOff>68580</xdr:colOff>
      <xdr:row>4</xdr:row>
      <xdr:rowOff>38100</xdr:rowOff>
    </xdr:from>
    <xdr:to>
      <xdr:col>18</xdr:col>
      <xdr:colOff>60960</xdr:colOff>
      <xdr:row>9</xdr:row>
      <xdr:rowOff>83820</xdr:rowOff>
    </xdr:to>
    <xdr:sp macro="" textlink="">
      <xdr:nvSpPr>
        <xdr:cNvPr id="25" name="Rectangle: Rounded Corners 24">
          <a:extLst>
            <a:ext uri="{FF2B5EF4-FFF2-40B4-BE49-F238E27FC236}">
              <a16:creationId xmlns:a16="http://schemas.microsoft.com/office/drawing/2014/main" id="{F59AA6A4-C17E-AF5D-EB56-37A1F27C8040}"/>
            </a:ext>
          </a:extLst>
        </xdr:cNvPr>
        <xdr:cNvSpPr/>
      </xdr:nvSpPr>
      <xdr:spPr>
        <a:xfrm>
          <a:off x="8602980" y="769620"/>
          <a:ext cx="2430780" cy="960120"/>
        </a:xfrm>
        <a:prstGeom prst="roundRect">
          <a:avLst/>
        </a:prstGeom>
        <a:solidFill>
          <a:schemeClr val="accent5">
            <a:lumMod val="20000"/>
            <a:lumOff val="80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ysClr val="windowText" lastClr="000000"/>
              </a:solidFill>
              <a:latin typeface="+mn-lt"/>
              <a:ea typeface="+mn-ea"/>
              <a:cs typeface="+mn-cs"/>
            </a:rPr>
            <a:t>REORDER ALERTS</a:t>
          </a:r>
        </a:p>
      </xdr:txBody>
    </xdr:sp>
    <xdr:clientData/>
  </xdr:twoCellAnchor>
  <xdr:twoCellAnchor>
    <xdr:from>
      <xdr:col>14</xdr:col>
      <xdr:colOff>68580</xdr:colOff>
      <xdr:row>6</xdr:row>
      <xdr:rowOff>68580</xdr:rowOff>
    </xdr:from>
    <xdr:to>
      <xdr:col>18</xdr:col>
      <xdr:colOff>53340</xdr:colOff>
      <xdr:row>8</xdr:row>
      <xdr:rowOff>106680</xdr:rowOff>
    </xdr:to>
    <xdr:sp macro="" textlink="KPIs!$L$4">
      <xdr:nvSpPr>
        <xdr:cNvPr id="26" name="TextBox 25">
          <a:extLst>
            <a:ext uri="{FF2B5EF4-FFF2-40B4-BE49-F238E27FC236}">
              <a16:creationId xmlns:a16="http://schemas.microsoft.com/office/drawing/2014/main" id="{C556B32B-EE4E-28BC-1B91-EAC596FF181B}"/>
            </a:ext>
          </a:extLst>
        </xdr:cNvPr>
        <xdr:cNvSpPr txBox="1"/>
      </xdr:nvSpPr>
      <xdr:spPr>
        <a:xfrm>
          <a:off x="8602980" y="1165860"/>
          <a:ext cx="24231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9C44719-6EE5-4DCF-93CA-DE0BCEF8BF7C}" type="TxLink">
            <a:rPr lang="en-US" sz="3200" b="1" i="0" u="none" strike="noStrike">
              <a:solidFill>
                <a:srgbClr val="000000"/>
              </a:solidFill>
              <a:latin typeface="Aptos Narrow"/>
              <a:ea typeface="+mn-ea"/>
              <a:cs typeface="+mn-cs"/>
            </a:rPr>
            <a:pPr marL="0" indent="0" algn="ctr"/>
            <a:t>54</a:t>
          </a:fld>
          <a:endParaRPr lang="en-IN" sz="3200" b="1" i="0" u="none" strike="noStrike">
            <a:solidFill>
              <a:srgbClr val="000000"/>
            </a:solidFill>
            <a:latin typeface="Aptos Narrow"/>
            <a:ea typeface="+mn-ea"/>
            <a:cs typeface="+mn-cs"/>
          </a:endParaRPr>
        </a:p>
      </xdr:txBody>
    </xdr:sp>
    <xdr:clientData/>
  </xdr:twoCellAnchor>
  <xdr:twoCellAnchor>
    <xdr:from>
      <xdr:col>0</xdr:col>
      <xdr:colOff>129540</xdr:colOff>
      <xdr:row>9</xdr:row>
      <xdr:rowOff>144780</xdr:rowOff>
    </xdr:from>
    <xdr:to>
      <xdr:col>7</xdr:col>
      <xdr:colOff>464820</xdr:colOff>
      <xdr:row>22</xdr:row>
      <xdr:rowOff>114300</xdr:rowOff>
    </xdr:to>
    <xdr:graphicFrame macro="">
      <xdr:nvGraphicFramePr>
        <xdr:cNvPr id="27" name="Chart 26">
          <a:extLst>
            <a:ext uri="{FF2B5EF4-FFF2-40B4-BE49-F238E27FC236}">
              <a16:creationId xmlns:a16="http://schemas.microsoft.com/office/drawing/2014/main" id="{9F476266-4CF0-457D-8D5C-4FB8F37F5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15240</xdr:colOff>
      <xdr:row>9</xdr:row>
      <xdr:rowOff>160020</xdr:rowOff>
    </xdr:from>
    <xdr:to>
      <xdr:col>23</xdr:col>
      <xdr:colOff>228600</xdr:colOff>
      <xdr:row>22</xdr:row>
      <xdr:rowOff>137160</xdr:rowOff>
    </xdr:to>
    <xdr:graphicFrame macro="">
      <xdr:nvGraphicFramePr>
        <xdr:cNvPr id="29" name="Chart 28">
          <a:extLst>
            <a:ext uri="{FF2B5EF4-FFF2-40B4-BE49-F238E27FC236}">
              <a16:creationId xmlns:a16="http://schemas.microsoft.com/office/drawing/2014/main" id="{40379571-DAB6-493D-A300-81FE4031B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144780</xdr:colOff>
      <xdr:row>22</xdr:row>
      <xdr:rowOff>160020</xdr:rowOff>
    </xdr:from>
    <xdr:to>
      <xdr:col>7</xdr:col>
      <xdr:colOff>449580</xdr:colOff>
      <xdr:row>36</xdr:row>
      <xdr:rowOff>114300</xdr:rowOff>
    </xdr:to>
    <xdr:graphicFrame macro="">
      <xdr:nvGraphicFramePr>
        <xdr:cNvPr id="30" name="Chart 29">
          <a:extLst>
            <a:ext uri="{FF2B5EF4-FFF2-40B4-BE49-F238E27FC236}">
              <a16:creationId xmlns:a16="http://schemas.microsoft.com/office/drawing/2014/main" id="{63E43448-4579-4EB2-95AC-028705802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7620</xdr:colOff>
      <xdr:row>23</xdr:row>
      <xdr:rowOff>4012</xdr:rowOff>
    </xdr:from>
    <xdr:to>
      <xdr:col>23</xdr:col>
      <xdr:colOff>243840</xdr:colOff>
      <xdr:row>36</xdr:row>
      <xdr:rowOff>137161</xdr:rowOff>
    </xdr:to>
    <xdr:graphicFrame macro="">
      <xdr:nvGraphicFramePr>
        <xdr:cNvPr id="31" name="Chart 30">
          <a:extLst>
            <a:ext uri="{FF2B5EF4-FFF2-40B4-BE49-F238E27FC236}">
              <a16:creationId xmlns:a16="http://schemas.microsoft.com/office/drawing/2014/main" id="{655D1800-AA75-4D6C-ADDF-39FC3AA2E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525780</xdr:colOff>
      <xdr:row>2</xdr:row>
      <xdr:rowOff>91440</xdr:rowOff>
    </xdr:from>
    <xdr:to>
      <xdr:col>11</xdr:col>
      <xdr:colOff>220980</xdr:colOff>
      <xdr:row>17</xdr:row>
      <xdr:rowOff>91440</xdr:rowOff>
    </xdr:to>
    <xdr:graphicFrame macro="">
      <xdr:nvGraphicFramePr>
        <xdr:cNvPr id="2" name="Chart 1">
          <a:extLst>
            <a:ext uri="{FF2B5EF4-FFF2-40B4-BE49-F238E27FC236}">
              <a16:creationId xmlns:a16="http://schemas.microsoft.com/office/drawing/2014/main" id="{F73421EA-33A4-B9CB-D012-A63F063E2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22860</xdr:colOff>
      <xdr:row>2</xdr:row>
      <xdr:rowOff>30480</xdr:rowOff>
    </xdr:from>
    <xdr:to>
      <xdr:col>11</xdr:col>
      <xdr:colOff>327660</xdr:colOff>
      <xdr:row>17</xdr:row>
      <xdr:rowOff>30480</xdr:rowOff>
    </xdr:to>
    <xdr:graphicFrame macro="">
      <xdr:nvGraphicFramePr>
        <xdr:cNvPr id="2" name="Chart 1">
          <a:extLst>
            <a:ext uri="{FF2B5EF4-FFF2-40B4-BE49-F238E27FC236}">
              <a16:creationId xmlns:a16="http://schemas.microsoft.com/office/drawing/2014/main" id="{990B9E99-1E44-2B11-F9B2-B62AA46320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426720</xdr:colOff>
      <xdr:row>1</xdr:row>
      <xdr:rowOff>68580</xdr:rowOff>
    </xdr:from>
    <xdr:to>
      <xdr:col>12</xdr:col>
      <xdr:colOff>121920</xdr:colOff>
      <xdr:row>16</xdr:row>
      <xdr:rowOff>68580</xdr:rowOff>
    </xdr:to>
    <xdr:graphicFrame macro="">
      <xdr:nvGraphicFramePr>
        <xdr:cNvPr id="2" name="Chart 1">
          <a:extLst>
            <a:ext uri="{FF2B5EF4-FFF2-40B4-BE49-F238E27FC236}">
              <a16:creationId xmlns:a16="http://schemas.microsoft.com/office/drawing/2014/main" id="{FCEA36B2-5753-0320-130F-2C0B6E0F5E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464820</xdr:colOff>
      <xdr:row>2</xdr:row>
      <xdr:rowOff>60960</xdr:rowOff>
    </xdr:from>
    <xdr:to>
      <xdr:col>12</xdr:col>
      <xdr:colOff>160020</xdr:colOff>
      <xdr:row>17</xdr:row>
      <xdr:rowOff>60960</xdr:rowOff>
    </xdr:to>
    <xdr:graphicFrame macro="">
      <xdr:nvGraphicFramePr>
        <xdr:cNvPr id="2" name="Chart 1">
          <a:extLst>
            <a:ext uri="{FF2B5EF4-FFF2-40B4-BE49-F238E27FC236}">
              <a16:creationId xmlns:a16="http://schemas.microsoft.com/office/drawing/2014/main" id="{91DA9E0E-9564-AC60-413F-8CBBB93DF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79.981029861112" createdVersion="5" refreshedVersion="8" minRefreshableVersion="3" recordCount="0" supportSubquery="1" supportAdvancedDrill="1" xr:uid="{8EC11933-1A1B-4394-9CCC-719CC1169B84}">
  <cacheSource type="external" connectionId="3"/>
  <cacheFields count="3">
    <cacheField name="[Main_Data].[Product Category].[Product Category]" caption="Product Category" numFmtId="0" hierarchy="1" level="1">
      <sharedItems count="3">
        <s v="Cosmetics"/>
        <s v="Haircare"/>
        <s v="Skincare"/>
      </sharedItems>
    </cacheField>
    <cacheField name="[Measures].[Sum of Total Inventory Value]" caption="Sum of Total Inventory Value" numFmtId="0" hierarchy="30" level="32767"/>
    <cacheField name="[Main_Data].[Restock Status].[Restock Status]" caption="Restock Status" numFmtId="0" hierarchy="15" level="1">
      <sharedItems containsSemiMixedTypes="0" containsNonDate="0" containsString="0"/>
    </cacheField>
  </cacheFields>
  <cacheHierarchies count="41">
    <cacheHierarchy uniqueName="[Main_Data].[SKU]" caption="SKU" attribute="1" defaultMemberUniqueName="[Main_Data].[SKU].[All]" allUniqueName="[Main_Data].[SKU].[All]" dimensionUniqueName="[Main_Data]" displayFolder="" count="0" memberValueDatatype="130" unbalanced="0"/>
    <cacheHierarchy uniqueName="[Main_Data].[Product Category]" caption="Product Category" attribute="1" defaultMemberUniqueName="[Main_Data].[Product Category].[All]" allUniqueName="[Main_Data].[Product Category].[All]" dimensionUniqueName="[Main_Data]" displayFolder="" count="2" memberValueDatatype="130" unbalanced="0">
      <fieldsUsage count="2">
        <fieldUsage x="-1"/>
        <fieldUsage x="0"/>
      </fieldsUsage>
    </cacheHierarchy>
    <cacheHierarchy uniqueName="[Main_Data].[Current Stock]" caption="Current Stock" attribute="1" defaultMemberUniqueName="[Main_Data].[Current Stock].[All]" allUniqueName="[Main_Data].[Current Stock].[All]" dimensionUniqueName="[Main_Data]" displayFolder="" count="0" memberValueDatatype="20" unbalanced="0"/>
    <cacheHierarchy uniqueName="[Main_Data].[Warehouse Location]" caption="Warehouse Location" attribute="1" defaultMemberUniqueName="[Main_Data].[Warehouse Location].[All]" allUniqueName="[Main_Data].[Warehouse Location].[All]" dimensionUniqueName="[Main_Data]" displayFolder="" count="2" memberValueDatatype="130" unbalanced="0"/>
    <cacheHierarchy uniqueName="[Main_Data].[Reorder Quantity]" caption="Reorder Quantity" attribute="1" defaultMemberUniqueName="[Main_Data].[Reorder Quantity].[All]" allUniqueName="[Main_Data].[Reorder Quantity].[All]" dimensionUniqueName="[Main_Data]" displayFolder="" count="0" memberValueDatatype="20" unbalanced="0"/>
    <cacheHierarchy uniqueName="[Main_Data].[Lead Time Days]" caption="Lead Time Days" attribute="1" defaultMemberUniqueName="[Main_Data].[Lead Time Days].[All]" allUniqueName="[Main_Data].[Lead Time Days].[All]" dimensionUniqueName="[Main_Data]" displayFolder="" count="0" memberValueDatatype="20" unbalanced="0"/>
    <cacheHierarchy uniqueName="[Main_Data].[Supplier]" caption="Supplier" attribute="1" defaultMemberUniqueName="[Main_Data].[Supplier].[All]" allUniqueName="[Main_Data].[Supplier].[All]" dimensionUniqueName="[Main_Data]" displayFolder="" count="2" memberValueDatatype="130" unbalanced="0"/>
    <cacheHierarchy uniqueName="[Main_Data].[Unit Cost]" caption="Unit Cost" attribute="1" defaultMemberUniqueName="[Main_Data].[Unit Cost].[All]" allUniqueName="[Main_Data].[Unit Cost].[All]" dimensionUniqueName="[Main_Data]" displayFolder="" count="0" memberValueDatatype="5" unbalanced="0"/>
    <cacheHierarchy uniqueName="[Main_Data].[Unit Selling Price]" caption="Unit Selling Price" attribute="1" defaultMemberUniqueName="[Main_Data].[Unit Selling Price].[All]" allUniqueName="[Main_Data].[Unit Selling Price].[All]" dimensionUniqueName="[Main_Data]" displayFolder="" count="0" memberValueDatatype="5" unbalanced="0"/>
    <cacheHierarchy uniqueName="[Main_Data].[Total Units Sold]" caption="Total Units Sold" attribute="1" defaultMemberUniqueName="[Main_Data].[Total Units Sold].[All]" allUniqueName="[Main_Data].[Total Units Sold].[All]" dimensionUniqueName="[Main_Data]" displayFolder="" count="0" memberValueDatatype="20" unbalanced="0"/>
    <cacheHierarchy uniqueName="[Main_Data].[Total Inventory Value]" caption="Total Inventory Value" attribute="1" defaultMemberUniqueName="[Main_Data].[Total Inventory Value].[All]" allUniqueName="[Main_Data].[Total Inventory Value].[All]" dimensionUniqueName="[Main_Data]" displayFolder="" count="0" memberValueDatatype="5" unbalanced="0"/>
    <cacheHierarchy uniqueName="[Main_Data].[Gross Profit Margin]" caption="Gross Profit Margin" attribute="1" defaultMemberUniqueName="[Main_Data].[Gross Profit Margin].[All]" allUniqueName="[Main_Data].[Gross Profit Margin].[All]" dimensionUniqueName="[Main_Data]" displayFolder="" count="0" memberValueDatatype="5" unbalanced="0"/>
    <cacheHierarchy uniqueName="[Main_Data].[Total Profit Generated]" caption="Total Profit Generated" attribute="1" defaultMemberUniqueName="[Main_Data].[Total Profit Generated].[All]" allUniqueName="[Main_Data].[Total Profit Generated].[All]" dimensionUniqueName="[Main_Data]" displayFolder="" count="0" memberValueDatatype="5" unbalanced="0"/>
    <cacheHierarchy uniqueName="[Main_Data].[Inventory Turnover Ratio]" caption="Inventory Turnover Ratio" attribute="1" defaultMemberUniqueName="[Main_Data].[Inventory Turnover Ratio].[All]" allUniqueName="[Main_Data].[Inventory Turnover Ratio].[All]" dimensionUniqueName="[Main_Data]" displayFolder="" count="0" memberValueDatatype="5" unbalanced="0"/>
    <cacheHierarchy uniqueName="[Main_Data].[Margin Check]" caption="Margin Check" attribute="1" defaultMemberUniqueName="[Main_Data].[Margin Check].[All]" allUniqueName="[Main_Data].[Margin Check].[All]" dimensionUniqueName="[Main_Data]" displayFolder="" count="0" memberValueDatatype="130" unbalanced="0"/>
    <cacheHierarchy uniqueName="[Main_Data].[Restock Status]" caption="Restock Status" attribute="1" defaultMemberUniqueName="[Main_Data].[Restock Status].[All]" allUniqueName="[Main_Data].[Restock Status].[All]" dimensionUniqueName="[Main_Data]" displayFolder="" count="2" memberValueDatatype="130" unbalanced="0">
      <fieldsUsage count="2">
        <fieldUsage x="-1"/>
        <fieldUsage x="2"/>
      </fieldsUsage>
    </cacheHierarchy>
    <cacheHierarchy uniqueName="[supply_chain_data].[SKU]" caption="SKU" attribute="1" defaultMemberUniqueName="[supply_chain_data].[SKU].[All]" allUniqueName="[supply_chain_data].[SKU].[All]" dimensionUniqueName="[supply_chain_data]" displayFolder="" count="0" memberValueDatatype="130" unbalanced="0"/>
    <cacheHierarchy uniqueName="[supply_chain_data].[Product Category]" caption="Product Category" attribute="1" defaultMemberUniqueName="[supply_chain_data].[Product Category].[All]" allUniqueName="[supply_chain_data].[Product Category].[All]" dimensionUniqueName="[supply_chain_data]" displayFolder="" count="0" memberValueDatatype="130" unbalanced="0"/>
    <cacheHierarchy uniqueName="[supply_chain_data].[Current Stock]" caption="Current Stock" attribute="1" defaultMemberUniqueName="[supply_chain_data].[Current Stock].[All]" allUniqueName="[supply_chain_data].[Current Stock].[All]" dimensionUniqueName="[supply_chain_data]" displayFolder="" count="0" memberValueDatatype="20" unbalanced="0"/>
    <cacheHierarchy uniqueName="[supply_chain_data].[Warehouse Location]" caption="Warehouse Location" attribute="1" defaultMemberUniqueName="[supply_chain_data].[Warehouse Location].[All]" allUniqueName="[supply_chain_data].[Warehouse Location].[All]" dimensionUniqueName="[supply_chain_data]" displayFolder="" count="0" memberValueDatatype="130" unbalanced="0"/>
    <cacheHierarchy uniqueName="[supply_chain_data].[Reorder Quantity]" caption="Reorder Quantity" attribute="1" defaultMemberUniqueName="[supply_chain_data].[Reorder Quantity].[All]" allUniqueName="[supply_chain_data].[Reorder Quantity].[All]" dimensionUniqueName="[supply_chain_data]" displayFolder="" count="0" memberValueDatatype="20" unbalanced="0"/>
    <cacheHierarchy uniqueName="[supply_chain_data].[Lead Time Days]" caption="Lead Time Days" attribute="1" defaultMemberUniqueName="[supply_chain_data].[Lead Time Days].[All]" allUniqueName="[supply_chain_data].[Lead Time Days].[All]" dimensionUniqueName="[supply_chain_data]" displayFolder="" count="0" memberValueDatatype="20" unbalanced="0"/>
    <cacheHierarchy uniqueName="[supply_chain_data].[Supplier]" caption="Supplier" attribute="1" defaultMemberUniqueName="[supply_chain_data].[Supplier].[All]" allUniqueName="[supply_chain_data].[Supplier].[All]" dimensionUniqueName="[supply_chain_data]" displayFolder="" count="0" memberValueDatatype="130" unbalanced="0"/>
    <cacheHierarchy uniqueName="[supply_chain_data].[Unit Cost]" caption="Unit Cost" attribute="1" defaultMemberUniqueName="[supply_chain_data].[Unit Cost].[All]" allUniqueName="[supply_chain_data].[Unit Cost].[All]" dimensionUniqueName="[supply_chain_data]" displayFolder="" count="0" memberValueDatatype="5" unbalanced="0"/>
    <cacheHierarchy uniqueName="[supply_chain_data].[Unit Selling Price]" caption="Unit Selling Price" attribute="1" defaultMemberUniqueName="[supply_chain_data].[Unit Selling Price].[All]" allUniqueName="[supply_chain_data].[Unit Selling Price].[All]" dimensionUniqueName="[supply_chain_data]" displayFolder="" count="0" memberValueDatatype="5" unbalanced="0"/>
    <cacheHierarchy uniqueName="[supply_chain_data].[Total Units Sold]" caption="Total Units Sold" attribute="1" defaultMemberUniqueName="[supply_chain_data].[Total Units Sold].[All]" allUniqueName="[supply_chain_data].[Total Units Sold].[All]" dimensionUniqueName="[supply_chain_data]" displayFolder="" count="0" memberValueDatatype="20" unbalanced="0"/>
    <cacheHierarchy uniqueName="[supply_chain_data].[Total Revenue]" caption="Total Revenue" attribute="1" defaultMemberUniqueName="[supply_chain_data].[Total Revenue].[All]" allUniqueName="[supply_chain_data].[Total Revenue].[All]" dimensionUniqueName="[supply_chain_data]" displayFolder="" count="0" memberValueDatatype="5" unbalanced="0"/>
    <cacheHierarchy uniqueName="[Measures].[__XL_Count supply_chain_data]" caption="__XL_Count supply_chain_data" measure="1" displayFolder="" measureGroup="supply_chain_data" count="0" hidden="1"/>
    <cacheHierarchy uniqueName="[Measures].[__XL_Count Main_Data]" caption="__XL_Count Main_Data" measure="1" displayFolder="" measureGroup="Main_Data" count="0" hidden="1"/>
    <cacheHierarchy uniqueName="[Measures].[__No measures defined]" caption="__No measures defined" measure="1" displayFolder="" count="0" hidden="1"/>
    <cacheHierarchy uniqueName="[Measures].[Sum of Total Inventory Value]" caption="Sum of Total Inventory Value" measure="1" displayFolder="" measureGroup="Main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Total Units Sold]" caption="Sum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Count of Total Units Sold]" caption="Count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Max of Total Units Sold]" caption="Max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Sum of Lead Time Days]" caption="Sum of Lead Time Days" measure="1" displayFolder="" measureGroup="Main_Data" count="0" hidden="1">
      <extLst>
        <ext xmlns:x15="http://schemas.microsoft.com/office/spreadsheetml/2010/11/main" uri="{B97F6D7D-B522-45F9-BDA1-12C45D357490}">
          <x15:cacheHierarchy aggregatedColumn="5"/>
        </ext>
      </extLst>
    </cacheHierarchy>
    <cacheHierarchy uniqueName="[Measures].[Average of Lead Time Days]" caption="Average of Lead Time Days" measure="1" displayFolder="" measureGroup="Main_Data" count="0" hidden="1">
      <extLst>
        <ext xmlns:x15="http://schemas.microsoft.com/office/spreadsheetml/2010/11/main" uri="{B97F6D7D-B522-45F9-BDA1-12C45D357490}">
          <x15:cacheHierarchy aggregatedColumn="5"/>
        </ext>
      </extLst>
    </cacheHierarchy>
    <cacheHierarchy uniqueName="[Measures].[Count of SKU]" caption="Count of SKU" measure="1" displayFolder="" measureGroup="Main_Data" count="0" hidden="1">
      <extLst>
        <ext xmlns:x15="http://schemas.microsoft.com/office/spreadsheetml/2010/11/main" uri="{B97F6D7D-B522-45F9-BDA1-12C45D357490}">
          <x15:cacheHierarchy aggregatedColumn="0"/>
        </ext>
      </extLst>
    </cacheHierarchy>
    <cacheHierarchy uniqueName="[Measures].[Sum of Current Stock]" caption="Sum of Current Stock" measure="1" displayFolder="" measureGroup="Main_Data" count="0" hidden="1">
      <extLst>
        <ext xmlns:x15="http://schemas.microsoft.com/office/spreadsheetml/2010/11/main" uri="{B97F6D7D-B522-45F9-BDA1-12C45D357490}">
          <x15:cacheHierarchy aggregatedColumn="2"/>
        </ext>
      </extLst>
    </cacheHierarchy>
    <cacheHierarchy uniqueName="[Measures].[Sum of Reorder Quantity]" caption="Sum of Reorder Quantity" measure="1" displayFolder="" measureGroup="Main_Data" count="0" hidden="1">
      <extLst>
        <ext xmlns:x15="http://schemas.microsoft.com/office/spreadsheetml/2010/11/main" uri="{B97F6D7D-B522-45F9-BDA1-12C45D357490}">
          <x15:cacheHierarchy aggregatedColumn="4"/>
        </ext>
      </extLst>
    </cacheHierarchy>
    <cacheHierarchy uniqueName="[Measures].[Count of Restock Status]" caption="Count of Restock Status" measure="1" displayFolder="" measureGroup="Main_Data" count="0" hidden="1">
      <extLst>
        <ext xmlns:x15="http://schemas.microsoft.com/office/spreadsheetml/2010/11/main" uri="{B97F6D7D-B522-45F9-BDA1-12C45D357490}">
          <x15:cacheHierarchy aggregatedColumn="15"/>
        </ext>
      </extLst>
    </cacheHierarchy>
    <cacheHierarchy uniqueName="[Measures].[Count of Warehouse Location]" caption="Count of Warehouse Location" measure="1" displayFolder="" measureGroup="Main_Data" count="0" hidden="1">
      <extLst>
        <ext xmlns:x15="http://schemas.microsoft.com/office/spreadsheetml/2010/11/main" uri="{B97F6D7D-B522-45F9-BDA1-12C45D357490}">
          <x15:cacheHierarchy aggregatedColumn="3"/>
        </ext>
      </extLst>
    </cacheHierarchy>
  </cacheHierarchies>
  <kpis count="0"/>
  <dimensions count="3">
    <dimension name="Main_Data" uniqueName="[Main_Data]" caption="Main_Data"/>
    <dimension measure="1" name="Measures" uniqueName="[Measures]" caption="Measures"/>
    <dimension name="supply_chain_data" uniqueName="[supply_chain_data]" caption="supply_chain_data"/>
  </dimensions>
  <measureGroups count="2">
    <measureGroup name="Main_Data" caption="Main_Data"/>
    <measureGroup name="supply_chain_data" caption="supply_chain_dat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79.981030208335" createdVersion="5" refreshedVersion="8" minRefreshableVersion="3" recordCount="0" supportSubquery="1" supportAdvancedDrill="1" xr:uid="{5807ABB1-3966-488F-8610-A06FBBD57E7D}">
  <cacheSource type="external" connectionId="3"/>
  <cacheFields count="4">
    <cacheField name="[Main_Data].[Margin Check].[Margin Check]" caption="Margin Check" numFmtId="0" hierarchy="14" level="1">
      <sharedItems count="2">
        <s v="LOSS MAKER"/>
        <s v="Profitable"/>
      </sharedItems>
    </cacheField>
    <cacheField name="[Measures].[Count of SKU]" caption="Count of SKU" numFmtId="0" hierarchy="36" level="32767"/>
    <cacheField name="[Main_Data].[Restock Status].[Restock Status]" caption="Restock Status" numFmtId="0" hierarchy="15" level="1">
      <sharedItems containsSemiMixedTypes="0" containsNonDate="0" containsString="0"/>
    </cacheField>
    <cacheField name="[Main_Data].[Product Category].[Product Category]" caption="Product Category" numFmtId="0" hierarchy="1" level="1">
      <sharedItems containsSemiMixedTypes="0" containsNonDate="0" containsString="0"/>
    </cacheField>
  </cacheFields>
  <cacheHierarchies count="41">
    <cacheHierarchy uniqueName="[Main_Data].[SKU]" caption="SKU" attribute="1" defaultMemberUniqueName="[Main_Data].[SKU].[All]" allUniqueName="[Main_Data].[SKU].[All]" dimensionUniqueName="[Main_Data]" displayFolder="" count="0" memberValueDatatype="130" unbalanced="0"/>
    <cacheHierarchy uniqueName="[Main_Data].[Product Category]" caption="Product Category" attribute="1" defaultMemberUniqueName="[Main_Data].[Product Category].[All]" allUniqueName="[Main_Data].[Product Category].[All]" dimensionUniqueName="[Main_Data]" displayFolder="" count="2" memberValueDatatype="130" unbalanced="0">
      <fieldsUsage count="2">
        <fieldUsage x="-1"/>
        <fieldUsage x="3"/>
      </fieldsUsage>
    </cacheHierarchy>
    <cacheHierarchy uniqueName="[Main_Data].[Current Stock]" caption="Current Stock" attribute="1" defaultMemberUniqueName="[Main_Data].[Current Stock].[All]" allUniqueName="[Main_Data].[Current Stock].[All]" dimensionUniqueName="[Main_Data]" displayFolder="" count="0" memberValueDatatype="20" unbalanced="0"/>
    <cacheHierarchy uniqueName="[Main_Data].[Warehouse Location]" caption="Warehouse Location" attribute="1" defaultMemberUniqueName="[Main_Data].[Warehouse Location].[All]" allUniqueName="[Main_Data].[Warehouse Location].[All]" dimensionUniqueName="[Main_Data]" displayFolder="" count="2" memberValueDatatype="130" unbalanced="0"/>
    <cacheHierarchy uniqueName="[Main_Data].[Reorder Quantity]" caption="Reorder Quantity" attribute="1" defaultMemberUniqueName="[Main_Data].[Reorder Quantity].[All]" allUniqueName="[Main_Data].[Reorder Quantity].[All]" dimensionUniqueName="[Main_Data]" displayFolder="" count="0" memberValueDatatype="20" unbalanced="0"/>
    <cacheHierarchy uniqueName="[Main_Data].[Lead Time Days]" caption="Lead Time Days" attribute="1" defaultMemberUniqueName="[Main_Data].[Lead Time Days].[All]" allUniqueName="[Main_Data].[Lead Time Days].[All]" dimensionUniqueName="[Main_Data]" displayFolder="" count="0" memberValueDatatype="20" unbalanced="0"/>
    <cacheHierarchy uniqueName="[Main_Data].[Supplier]" caption="Supplier" attribute="1" defaultMemberUniqueName="[Main_Data].[Supplier].[All]" allUniqueName="[Main_Data].[Supplier].[All]" dimensionUniqueName="[Main_Data]" displayFolder="" count="2" memberValueDatatype="130" unbalanced="0"/>
    <cacheHierarchy uniqueName="[Main_Data].[Unit Cost]" caption="Unit Cost" attribute="1" defaultMemberUniqueName="[Main_Data].[Unit Cost].[All]" allUniqueName="[Main_Data].[Unit Cost].[All]" dimensionUniqueName="[Main_Data]" displayFolder="" count="0" memberValueDatatype="5" unbalanced="0"/>
    <cacheHierarchy uniqueName="[Main_Data].[Unit Selling Price]" caption="Unit Selling Price" attribute="1" defaultMemberUniqueName="[Main_Data].[Unit Selling Price].[All]" allUniqueName="[Main_Data].[Unit Selling Price].[All]" dimensionUniqueName="[Main_Data]" displayFolder="" count="0" memberValueDatatype="5" unbalanced="0"/>
    <cacheHierarchy uniqueName="[Main_Data].[Total Units Sold]" caption="Total Units Sold" attribute="1" defaultMemberUniqueName="[Main_Data].[Total Units Sold].[All]" allUniqueName="[Main_Data].[Total Units Sold].[All]" dimensionUniqueName="[Main_Data]" displayFolder="" count="0" memberValueDatatype="20" unbalanced="0"/>
    <cacheHierarchy uniqueName="[Main_Data].[Total Inventory Value]" caption="Total Inventory Value" attribute="1" defaultMemberUniqueName="[Main_Data].[Total Inventory Value].[All]" allUniqueName="[Main_Data].[Total Inventory Value].[All]" dimensionUniqueName="[Main_Data]" displayFolder="" count="0" memberValueDatatype="5" unbalanced="0"/>
    <cacheHierarchy uniqueName="[Main_Data].[Gross Profit Margin]" caption="Gross Profit Margin" attribute="1" defaultMemberUniqueName="[Main_Data].[Gross Profit Margin].[All]" allUniqueName="[Main_Data].[Gross Profit Margin].[All]" dimensionUniqueName="[Main_Data]" displayFolder="" count="0" memberValueDatatype="5" unbalanced="0"/>
    <cacheHierarchy uniqueName="[Main_Data].[Total Profit Generated]" caption="Total Profit Generated" attribute="1" defaultMemberUniqueName="[Main_Data].[Total Profit Generated].[All]" allUniqueName="[Main_Data].[Total Profit Generated].[All]" dimensionUniqueName="[Main_Data]" displayFolder="" count="0" memberValueDatatype="5" unbalanced="0"/>
    <cacheHierarchy uniqueName="[Main_Data].[Inventory Turnover Ratio]" caption="Inventory Turnover Ratio" attribute="1" defaultMemberUniqueName="[Main_Data].[Inventory Turnover Ratio].[All]" allUniqueName="[Main_Data].[Inventory Turnover Ratio].[All]" dimensionUniqueName="[Main_Data]" displayFolder="" count="0" memberValueDatatype="5" unbalanced="0"/>
    <cacheHierarchy uniqueName="[Main_Data].[Margin Check]" caption="Margin Check" attribute="1" defaultMemberUniqueName="[Main_Data].[Margin Check].[All]" allUniqueName="[Main_Data].[Margin Check].[All]" dimensionUniqueName="[Main_Data]" displayFolder="" count="2" memberValueDatatype="130" unbalanced="0">
      <fieldsUsage count="2">
        <fieldUsage x="-1"/>
        <fieldUsage x="0"/>
      </fieldsUsage>
    </cacheHierarchy>
    <cacheHierarchy uniqueName="[Main_Data].[Restock Status]" caption="Restock Status" attribute="1" defaultMemberUniqueName="[Main_Data].[Restock Status].[All]" allUniqueName="[Main_Data].[Restock Status].[All]" dimensionUniqueName="[Main_Data]" displayFolder="" count="2" memberValueDatatype="130" unbalanced="0">
      <fieldsUsage count="2">
        <fieldUsage x="-1"/>
        <fieldUsage x="2"/>
      </fieldsUsage>
    </cacheHierarchy>
    <cacheHierarchy uniqueName="[supply_chain_data].[SKU]" caption="SKU" attribute="1" defaultMemberUniqueName="[supply_chain_data].[SKU].[All]" allUniqueName="[supply_chain_data].[SKU].[All]" dimensionUniqueName="[supply_chain_data]" displayFolder="" count="0" memberValueDatatype="130" unbalanced="0"/>
    <cacheHierarchy uniqueName="[supply_chain_data].[Product Category]" caption="Product Category" attribute="1" defaultMemberUniqueName="[supply_chain_data].[Product Category].[All]" allUniqueName="[supply_chain_data].[Product Category].[All]" dimensionUniqueName="[supply_chain_data]" displayFolder="" count="0" memberValueDatatype="130" unbalanced="0"/>
    <cacheHierarchy uniqueName="[supply_chain_data].[Current Stock]" caption="Current Stock" attribute="1" defaultMemberUniqueName="[supply_chain_data].[Current Stock].[All]" allUniqueName="[supply_chain_data].[Current Stock].[All]" dimensionUniqueName="[supply_chain_data]" displayFolder="" count="0" memberValueDatatype="20" unbalanced="0"/>
    <cacheHierarchy uniqueName="[supply_chain_data].[Warehouse Location]" caption="Warehouse Location" attribute="1" defaultMemberUniqueName="[supply_chain_data].[Warehouse Location].[All]" allUniqueName="[supply_chain_data].[Warehouse Location].[All]" dimensionUniqueName="[supply_chain_data]" displayFolder="" count="0" memberValueDatatype="130" unbalanced="0"/>
    <cacheHierarchy uniqueName="[supply_chain_data].[Reorder Quantity]" caption="Reorder Quantity" attribute="1" defaultMemberUniqueName="[supply_chain_data].[Reorder Quantity].[All]" allUniqueName="[supply_chain_data].[Reorder Quantity].[All]" dimensionUniqueName="[supply_chain_data]" displayFolder="" count="0" memberValueDatatype="20" unbalanced="0"/>
    <cacheHierarchy uniqueName="[supply_chain_data].[Lead Time Days]" caption="Lead Time Days" attribute="1" defaultMemberUniqueName="[supply_chain_data].[Lead Time Days].[All]" allUniqueName="[supply_chain_data].[Lead Time Days].[All]" dimensionUniqueName="[supply_chain_data]" displayFolder="" count="0" memberValueDatatype="20" unbalanced="0"/>
    <cacheHierarchy uniqueName="[supply_chain_data].[Supplier]" caption="Supplier" attribute="1" defaultMemberUniqueName="[supply_chain_data].[Supplier].[All]" allUniqueName="[supply_chain_data].[Supplier].[All]" dimensionUniqueName="[supply_chain_data]" displayFolder="" count="0" memberValueDatatype="130" unbalanced="0"/>
    <cacheHierarchy uniqueName="[supply_chain_data].[Unit Cost]" caption="Unit Cost" attribute="1" defaultMemberUniqueName="[supply_chain_data].[Unit Cost].[All]" allUniqueName="[supply_chain_data].[Unit Cost].[All]" dimensionUniqueName="[supply_chain_data]" displayFolder="" count="0" memberValueDatatype="5" unbalanced="0"/>
    <cacheHierarchy uniqueName="[supply_chain_data].[Unit Selling Price]" caption="Unit Selling Price" attribute="1" defaultMemberUniqueName="[supply_chain_data].[Unit Selling Price].[All]" allUniqueName="[supply_chain_data].[Unit Selling Price].[All]" dimensionUniqueName="[supply_chain_data]" displayFolder="" count="0" memberValueDatatype="5" unbalanced="0"/>
    <cacheHierarchy uniqueName="[supply_chain_data].[Total Units Sold]" caption="Total Units Sold" attribute="1" defaultMemberUniqueName="[supply_chain_data].[Total Units Sold].[All]" allUniqueName="[supply_chain_data].[Total Units Sold].[All]" dimensionUniqueName="[supply_chain_data]" displayFolder="" count="0" memberValueDatatype="20" unbalanced="0"/>
    <cacheHierarchy uniqueName="[supply_chain_data].[Total Revenue]" caption="Total Revenue" attribute="1" defaultMemberUniqueName="[supply_chain_data].[Total Revenue].[All]" allUniqueName="[supply_chain_data].[Total Revenue].[All]" dimensionUniqueName="[supply_chain_data]" displayFolder="" count="0" memberValueDatatype="5" unbalanced="0"/>
    <cacheHierarchy uniqueName="[Measures].[__XL_Count supply_chain_data]" caption="__XL_Count supply_chain_data" measure="1" displayFolder="" measureGroup="supply_chain_data" count="0" hidden="1"/>
    <cacheHierarchy uniqueName="[Measures].[__XL_Count Main_Data]" caption="__XL_Count Main_Data" measure="1" displayFolder="" measureGroup="Main_Data" count="0" hidden="1"/>
    <cacheHierarchy uniqueName="[Measures].[__No measures defined]" caption="__No measures defined" measure="1" displayFolder="" count="0" hidden="1"/>
    <cacheHierarchy uniqueName="[Measures].[Sum of Total Inventory Value]" caption="Sum of Total Inventory Value" measure="1" displayFolder="" measureGroup="Main_Data" count="0" hidden="1">
      <extLst>
        <ext xmlns:x15="http://schemas.microsoft.com/office/spreadsheetml/2010/11/main" uri="{B97F6D7D-B522-45F9-BDA1-12C45D357490}">
          <x15:cacheHierarchy aggregatedColumn="10"/>
        </ext>
      </extLst>
    </cacheHierarchy>
    <cacheHierarchy uniqueName="[Measures].[Sum of Total Units Sold]" caption="Sum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Count of Total Units Sold]" caption="Count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Max of Total Units Sold]" caption="Max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Sum of Lead Time Days]" caption="Sum of Lead Time Days" measure="1" displayFolder="" measureGroup="Main_Data" count="0" hidden="1">
      <extLst>
        <ext xmlns:x15="http://schemas.microsoft.com/office/spreadsheetml/2010/11/main" uri="{B97F6D7D-B522-45F9-BDA1-12C45D357490}">
          <x15:cacheHierarchy aggregatedColumn="5"/>
        </ext>
      </extLst>
    </cacheHierarchy>
    <cacheHierarchy uniqueName="[Measures].[Average of Lead Time Days]" caption="Average of Lead Time Days" measure="1" displayFolder="" measureGroup="Main_Data" count="0" hidden="1">
      <extLst>
        <ext xmlns:x15="http://schemas.microsoft.com/office/spreadsheetml/2010/11/main" uri="{B97F6D7D-B522-45F9-BDA1-12C45D357490}">
          <x15:cacheHierarchy aggregatedColumn="5"/>
        </ext>
      </extLst>
    </cacheHierarchy>
    <cacheHierarchy uniqueName="[Measures].[Count of SKU]" caption="Count of SKU" measure="1" displayFolder="" measureGroup="Main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urrent Stock]" caption="Sum of Current Stock" measure="1" displayFolder="" measureGroup="Main_Data" count="0" hidden="1">
      <extLst>
        <ext xmlns:x15="http://schemas.microsoft.com/office/spreadsheetml/2010/11/main" uri="{B97F6D7D-B522-45F9-BDA1-12C45D357490}">
          <x15:cacheHierarchy aggregatedColumn="2"/>
        </ext>
      </extLst>
    </cacheHierarchy>
    <cacheHierarchy uniqueName="[Measures].[Sum of Reorder Quantity]" caption="Sum of Reorder Quantity" measure="1" displayFolder="" measureGroup="Main_Data" count="0" hidden="1">
      <extLst>
        <ext xmlns:x15="http://schemas.microsoft.com/office/spreadsheetml/2010/11/main" uri="{B97F6D7D-B522-45F9-BDA1-12C45D357490}">
          <x15:cacheHierarchy aggregatedColumn="4"/>
        </ext>
      </extLst>
    </cacheHierarchy>
    <cacheHierarchy uniqueName="[Measures].[Count of Restock Status]" caption="Count of Restock Status" measure="1" displayFolder="" measureGroup="Main_Data" count="0" hidden="1">
      <extLst>
        <ext xmlns:x15="http://schemas.microsoft.com/office/spreadsheetml/2010/11/main" uri="{B97F6D7D-B522-45F9-BDA1-12C45D357490}">
          <x15:cacheHierarchy aggregatedColumn="15"/>
        </ext>
      </extLst>
    </cacheHierarchy>
    <cacheHierarchy uniqueName="[Measures].[Count of Warehouse Location]" caption="Count of Warehouse Location" measure="1" displayFolder="" measureGroup="Main_Data" count="0" hidden="1">
      <extLst>
        <ext xmlns:x15="http://schemas.microsoft.com/office/spreadsheetml/2010/11/main" uri="{B97F6D7D-B522-45F9-BDA1-12C45D357490}">
          <x15:cacheHierarchy aggregatedColumn="3"/>
        </ext>
      </extLst>
    </cacheHierarchy>
  </cacheHierarchies>
  <kpis count="0"/>
  <dimensions count="3">
    <dimension name="Main_Data" uniqueName="[Main_Data]" caption="Main_Data"/>
    <dimension measure="1" name="Measures" uniqueName="[Measures]" caption="Measures"/>
    <dimension name="supply_chain_data" uniqueName="[supply_chain_data]" caption="supply_chain_data"/>
  </dimensions>
  <measureGroups count="2">
    <measureGroup name="Main_Data" caption="Main_Data"/>
    <measureGroup name="supply_chain_data" caption="supply_chain_dat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79.981030671297" createdVersion="5" refreshedVersion="8" minRefreshableVersion="3" recordCount="0" supportSubquery="1" supportAdvancedDrill="1" xr:uid="{74EF063E-8C3A-4C91-B242-CAD2DD879211}">
  <cacheSource type="external" connectionId="3"/>
  <cacheFields count="8">
    <cacheField name="[Main_Data].[Restock Status].[Restock Status]" caption="Restock Status" numFmtId="0" hierarchy="15" level="1">
      <sharedItems containsSemiMixedTypes="0" containsNonDate="0" containsString="0"/>
    </cacheField>
    <cacheField name="[Main_Data].[SKU].[SKU]" caption="SKU" numFmtId="0" level="1">
      <sharedItems count="54">
        <s v="SKU0"/>
        <s v="SKU10"/>
        <s v="SKU11"/>
        <s v="SKU14"/>
        <s v="SKU15"/>
        <s v="SKU16"/>
        <s v="SKU17"/>
        <s v="SKU18"/>
        <s v="SKU19"/>
        <s v="SKU2"/>
        <s v="SKU20"/>
        <s v="SKU27"/>
        <s v="SKU29"/>
        <s v="SKU3"/>
        <s v="SKU31"/>
        <s v="SKU33"/>
        <s v="SKU34"/>
        <s v="SKU35"/>
        <s v="SKU36"/>
        <s v="SKU38"/>
        <s v="SKU4"/>
        <s v="SKU42"/>
        <s v="SKU43"/>
        <s v="SKU44"/>
        <s v="SKU47"/>
        <s v="SKU50"/>
        <s v="SKU54"/>
        <s v="SKU56"/>
        <s v="SKU57"/>
        <s v="SKU58"/>
        <s v="SKU6"/>
        <s v="SKU60"/>
        <s v="SKU61"/>
        <s v="SKU64"/>
        <s v="SKU66"/>
        <s v="SKU67"/>
        <s v="SKU68"/>
        <s v="SKU70"/>
        <s v="SKU72"/>
        <s v="SKU73"/>
        <s v="SKU75"/>
        <s v="SKU78"/>
        <s v="SKU8"/>
        <s v="SKU80"/>
        <s v="SKU82"/>
        <s v="SKU84"/>
        <s v="SKU85"/>
        <s v="SKU87"/>
        <s v="SKU88"/>
        <s v="SKU9"/>
        <s v="SKU90"/>
        <s v="SKU93"/>
        <s v="SKU95"/>
        <s v="SKU99"/>
      </sharedItems>
    </cacheField>
    <cacheField name="[Main_Data].[Product Category].[Product Category]" caption="Product Category" numFmtId="0" hierarchy="1" level="1">
      <sharedItems count="3">
        <s v="Haircare"/>
        <s v="Skincare"/>
        <s v="Cosmetics"/>
      </sharedItems>
    </cacheField>
    <cacheField name="[Main_Data].[Supplier].[Supplier]" caption="Supplier" numFmtId="0" hierarchy="6" level="1">
      <sharedItems count="5">
        <s v="Supplier 3"/>
        <s v="Supplier 5"/>
        <s v="Supplier 2"/>
        <s v="Supplier 1"/>
        <s v="Supplier 4"/>
      </sharedItems>
    </cacheField>
    <cacheField name="[Main_Data].[Warehouse Location].[Warehouse Location]" caption="Warehouse Location" numFmtId="0" hierarchy="3" level="1">
      <sharedItems count="5">
        <s v="Mumbai"/>
        <s v="Kolkata"/>
        <s v="Bangalore"/>
        <s v="Chennai"/>
        <s v="Delhi"/>
      </sharedItems>
    </cacheField>
    <cacheField name="[Measures].[Sum of Current Stock]" caption="Sum of Current Stock" numFmtId="0" hierarchy="37" level="32767"/>
    <cacheField name="[Measures].[Sum of Reorder Quantity]" caption="Sum of Reorder Quantity" numFmtId="0" hierarchy="38" level="32767"/>
    <cacheField name="[Measures].[Sum of Lead Time Days]" caption="Sum of Lead Time Days" numFmtId="0" hierarchy="34" level="32767"/>
  </cacheFields>
  <cacheHierarchies count="41">
    <cacheHierarchy uniqueName="[Main_Data].[SKU]" caption="SKU" attribute="1" defaultMemberUniqueName="[Main_Data].[SKU].[All]" allUniqueName="[Main_Data].[SKU].[All]" dimensionUniqueName="[Main_Data]" displayFolder="" count="2" memberValueDatatype="130" unbalanced="0">
      <fieldsUsage count="2">
        <fieldUsage x="-1"/>
        <fieldUsage x="1"/>
      </fieldsUsage>
    </cacheHierarchy>
    <cacheHierarchy uniqueName="[Main_Data].[Product Category]" caption="Product Category" attribute="1" defaultMemberUniqueName="[Main_Data].[Product Category].[All]" allUniqueName="[Main_Data].[Product Category].[All]" dimensionUniqueName="[Main_Data]" displayFolder="" count="2" memberValueDatatype="130" unbalanced="0">
      <fieldsUsage count="2">
        <fieldUsage x="-1"/>
        <fieldUsage x="2"/>
      </fieldsUsage>
    </cacheHierarchy>
    <cacheHierarchy uniqueName="[Main_Data].[Current Stock]" caption="Current Stock" attribute="1" defaultMemberUniqueName="[Main_Data].[Current Stock].[All]" allUniqueName="[Main_Data].[Current Stock].[All]" dimensionUniqueName="[Main_Data]" displayFolder="" count="0" memberValueDatatype="20" unbalanced="0"/>
    <cacheHierarchy uniqueName="[Main_Data].[Warehouse Location]" caption="Warehouse Location" attribute="1" defaultMemberUniqueName="[Main_Data].[Warehouse Location].[All]" allUniqueName="[Main_Data].[Warehouse Location].[All]" dimensionUniqueName="[Main_Data]" displayFolder="" count="2" memberValueDatatype="130" unbalanced="0">
      <fieldsUsage count="2">
        <fieldUsage x="-1"/>
        <fieldUsage x="4"/>
      </fieldsUsage>
    </cacheHierarchy>
    <cacheHierarchy uniqueName="[Main_Data].[Reorder Quantity]" caption="Reorder Quantity" attribute="1" defaultMemberUniqueName="[Main_Data].[Reorder Quantity].[All]" allUniqueName="[Main_Data].[Reorder Quantity].[All]" dimensionUniqueName="[Main_Data]" displayFolder="" count="0" memberValueDatatype="20" unbalanced="0"/>
    <cacheHierarchy uniqueName="[Main_Data].[Lead Time Days]" caption="Lead Time Days" attribute="1" defaultMemberUniqueName="[Main_Data].[Lead Time Days].[All]" allUniqueName="[Main_Data].[Lead Time Days].[All]" dimensionUniqueName="[Main_Data]" displayFolder="" count="0" memberValueDatatype="20" unbalanced="0"/>
    <cacheHierarchy uniqueName="[Main_Data].[Supplier]" caption="Supplier" attribute="1" defaultMemberUniqueName="[Main_Data].[Supplier].[All]" allUniqueName="[Main_Data].[Supplier].[All]" dimensionUniqueName="[Main_Data]" displayFolder="" count="2" memberValueDatatype="130" unbalanced="0">
      <fieldsUsage count="2">
        <fieldUsage x="-1"/>
        <fieldUsage x="3"/>
      </fieldsUsage>
    </cacheHierarchy>
    <cacheHierarchy uniqueName="[Main_Data].[Unit Cost]" caption="Unit Cost" attribute="1" defaultMemberUniqueName="[Main_Data].[Unit Cost].[All]" allUniqueName="[Main_Data].[Unit Cost].[All]" dimensionUniqueName="[Main_Data]" displayFolder="" count="0" memberValueDatatype="5" unbalanced="0"/>
    <cacheHierarchy uniqueName="[Main_Data].[Unit Selling Price]" caption="Unit Selling Price" attribute="1" defaultMemberUniqueName="[Main_Data].[Unit Selling Price].[All]" allUniqueName="[Main_Data].[Unit Selling Price].[All]" dimensionUniqueName="[Main_Data]" displayFolder="" count="0" memberValueDatatype="5" unbalanced="0"/>
    <cacheHierarchy uniqueName="[Main_Data].[Total Units Sold]" caption="Total Units Sold" attribute="1" defaultMemberUniqueName="[Main_Data].[Total Units Sold].[All]" allUniqueName="[Main_Data].[Total Units Sold].[All]" dimensionUniqueName="[Main_Data]" displayFolder="" count="0" memberValueDatatype="20" unbalanced="0"/>
    <cacheHierarchy uniqueName="[Main_Data].[Total Inventory Value]" caption="Total Inventory Value" attribute="1" defaultMemberUniqueName="[Main_Data].[Total Inventory Value].[All]" allUniqueName="[Main_Data].[Total Inventory Value].[All]" dimensionUniqueName="[Main_Data]" displayFolder="" count="0" memberValueDatatype="5" unbalanced="0"/>
    <cacheHierarchy uniqueName="[Main_Data].[Gross Profit Margin]" caption="Gross Profit Margin" attribute="1" defaultMemberUniqueName="[Main_Data].[Gross Profit Margin].[All]" allUniqueName="[Main_Data].[Gross Profit Margin].[All]" dimensionUniqueName="[Main_Data]" displayFolder="" count="0" memberValueDatatype="5" unbalanced="0"/>
    <cacheHierarchy uniqueName="[Main_Data].[Total Profit Generated]" caption="Total Profit Generated" attribute="1" defaultMemberUniqueName="[Main_Data].[Total Profit Generated].[All]" allUniqueName="[Main_Data].[Total Profit Generated].[All]" dimensionUniqueName="[Main_Data]" displayFolder="" count="0" memberValueDatatype="5" unbalanced="0"/>
    <cacheHierarchy uniqueName="[Main_Data].[Inventory Turnover Ratio]" caption="Inventory Turnover Ratio" attribute="1" defaultMemberUniqueName="[Main_Data].[Inventory Turnover Ratio].[All]" allUniqueName="[Main_Data].[Inventory Turnover Ratio].[All]" dimensionUniqueName="[Main_Data]" displayFolder="" count="0" memberValueDatatype="5" unbalanced="0"/>
    <cacheHierarchy uniqueName="[Main_Data].[Margin Check]" caption="Margin Check" attribute="1" defaultMemberUniqueName="[Main_Data].[Margin Check].[All]" allUniqueName="[Main_Data].[Margin Check].[All]" dimensionUniqueName="[Main_Data]" displayFolder="" count="0" memberValueDatatype="130" unbalanced="0"/>
    <cacheHierarchy uniqueName="[Main_Data].[Restock Status]" caption="Restock Status" attribute="1" defaultMemberUniqueName="[Main_Data].[Restock Status].[All]" allUniqueName="[Main_Data].[Restock Status].[All]" dimensionUniqueName="[Main_Data]" displayFolder="" count="2" memberValueDatatype="130" unbalanced="0">
      <fieldsUsage count="2">
        <fieldUsage x="-1"/>
        <fieldUsage x="0"/>
      </fieldsUsage>
    </cacheHierarchy>
    <cacheHierarchy uniqueName="[supply_chain_data].[SKU]" caption="SKU" attribute="1" defaultMemberUniqueName="[supply_chain_data].[SKU].[All]" allUniqueName="[supply_chain_data].[SKU].[All]" dimensionUniqueName="[supply_chain_data]" displayFolder="" count="0" memberValueDatatype="130" unbalanced="0"/>
    <cacheHierarchy uniqueName="[supply_chain_data].[Product Category]" caption="Product Category" attribute="1" defaultMemberUniqueName="[supply_chain_data].[Product Category].[All]" allUniqueName="[supply_chain_data].[Product Category].[All]" dimensionUniqueName="[supply_chain_data]" displayFolder="" count="0" memberValueDatatype="130" unbalanced="0"/>
    <cacheHierarchy uniqueName="[supply_chain_data].[Current Stock]" caption="Current Stock" attribute="1" defaultMemberUniqueName="[supply_chain_data].[Current Stock].[All]" allUniqueName="[supply_chain_data].[Current Stock].[All]" dimensionUniqueName="[supply_chain_data]" displayFolder="" count="0" memberValueDatatype="20" unbalanced="0"/>
    <cacheHierarchy uniqueName="[supply_chain_data].[Warehouse Location]" caption="Warehouse Location" attribute="1" defaultMemberUniqueName="[supply_chain_data].[Warehouse Location].[All]" allUniqueName="[supply_chain_data].[Warehouse Location].[All]" dimensionUniqueName="[supply_chain_data]" displayFolder="" count="0" memberValueDatatype="130" unbalanced="0"/>
    <cacheHierarchy uniqueName="[supply_chain_data].[Reorder Quantity]" caption="Reorder Quantity" attribute="1" defaultMemberUniqueName="[supply_chain_data].[Reorder Quantity].[All]" allUniqueName="[supply_chain_data].[Reorder Quantity].[All]" dimensionUniqueName="[supply_chain_data]" displayFolder="" count="0" memberValueDatatype="20" unbalanced="0"/>
    <cacheHierarchy uniqueName="[supply_chain_data].[Lead Time Days]" caption="Lead Time Days" attribute="1" defaultMemberUniqueName="[supply_chain_data].[Lead Time Days].[All]" allUniqueName="[supply_chain_data].[Lead Time Days].[All]" dimensionUniqueName="[supply_chain_data]" displayFolder="" count="0" memberValueDatatype="20" unbalanced="0"/>
    <cacheHierarchy uniqueName="[supply_chain_data].[Supplier]" caption="Supplier" attribute="1" defaultMemberUniqueName="[supply_chain_data].[Supplier].[All]" allUniqueName="[supply_chain_data].[Supplier].[All]" dimensionUniqueName="[supply_chain_data]" displayFolder="" count="0" memberValueDatatype="130" unbalanced="0"/>
    <cacheHierarchy uniqueName="[supply_chain_data].[Unit Cost]" caption="Unit Cost" attribute="1" defaultMemberUniqueName="[supply_chain_data].[Unit Cost].[All]" allUniqueName="[supply_chain_data].[Unit Cost].[All]" dimensionUniqueName="[supply_chain_data]" displayFolder="" count="0" memberValueDatatype="5" unbalanced="0"/>
    <cacheHierarchy uniqueName="[supply_chain_data].[Unit Selling Price]" caption="Unit Selling Price" attribute="1" defaultMemberUniqueName="[supply_chain_data].[Unit Selling Price].[All]" allUniqueName="[supply_chain_data].[Unit Selling Price].[All]" dimensionUniqueName="[supply_chain_data]" displayFolder="" count="0" memberValueDatatype="5" unbalanced="0"/>
    <cacheHierarchy uniqueName="[supply_chain_data].[Total Units Sold]" caption="Total Units Sold" attribute="1" defaultMemberUniqueName="[supply_chain_data].[Total Units Sold].[All]" allUniqueName="[supply_chain_data].[Total Units Sold].[All]" dimensionUniqueName="[supply_chain_data]" displayFolder="" count="0" memberValueDatatype="20" unbalanced="0"/>
    <cacheHierarchy uniqueName="[supply_chain_data].[Total Revenue]" caption="Total Revenue" attribute="1" defaultMemberUniqueName="[supply_chain_data].[Total Revenue].[All]" allUniqueName="[supply_chain_data].[Total Revenue].[All]" dimensionUniqueName="[supply_chain_data]" displayFolder="" count="0" memberValueDatatype="5" unbalanced="0"/>
    <cacheHierarchy uniqueName="[Measures].[__XL_Count supply_chain_data]" caption="__XL_Count supply_chain_data" measure="1" displayFolder="" measureGroup="supply_chain_data" count="0" hidden="1"/>
    <cacheHierarchy uniqueName="[Measures].[__XL_Count Main_Data]" caption="__XL_Count Main_Data" measure="1" displayFolder="" measureGroup="Main_Data" count="0" hidden="1"/>
    <cacheHierarchy uniqueName="[Measures].[__No measures defined]" caption="__No measures defined" measure="1" displayFolder="" count="0" hidden="1"/>
    <cacheHierarchy uniqueName="[Measures].[Sum of Total Inventory Value]" caption="Sum of Total Inventory Value" measure="1" displayFolder="" measureGroup="Main_Data" count="0" hidden="1">
      <extLst>
        <ext xmlns:x15="http://schemas.microsoft.com/office/spreadsheetml/2010/11/main" uri="{B97F6D7D-B522-45F9-BDA1-12C45D357490}">
          <x15:cacheHierarchy aggregatedColumn="10"/>
        </ext>
      </extLst>
    </cacheHierarchy>
    <cacheHierarchy uniqueName="[Measures].[Sum of Total Units Sold]" caption="Sum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Count of Total Units Sold]" caption="Count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Max of Total Units Sold]" caption="Max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Sum of Lead Time Days]" caption="Sum of Lead Time Days" measure="1" displayFolder="" measureGroup="Main_Data" count="0" oneField="1" hidden="1">
      <fieldsUsage count="1">
        <fieldUsage x="7"/>
      </fieldsUsage>
      <extLst>
        <ext xmlns:x15="http://schemas.microsoft.com/office/spreadsheetml/2010/11/main" uri="{B97F6D7D-B522-45F9-BDA1-12C45D357490}">
          <x15:cacheHierarchy aggregatedColumn="5"/>
        </ext>
      </extLst>
    </cacheHierarchy>
    <cacheHierarchy uniqueName="[Measures].[Average of Lead Time Days]" caption="Average of Lead Time Days" measure="1" displayFolder="" measureGroup="Main_Data" count="0" hidden="1">
      <extLst>
        <ext xmlns:x15="http://schemas.microsoft.com/office/spreadsheetml/2010/11/main" uri="{B97F6D7D-B522-45F9-BDA1-12C45D357490}">
          <x15:cacheHierarchy aggregatedColumn="5"/>
        </ext>
      </extLst>
    </cacheHierarchy>
    <cacheHierarchy uniqueName="[Measures].[Count of SKU]" caption="Count of SKU" measure="1" displayFolder="" measureGroup="Main_Data" count="0" hidden="1">
      <extLst>
        <ext xmlns:x15="http://schemas.microsoft.com/office/spreadsheetml/2010/11/main" uri="{B97F6D7D-B522-45F9-BDA1-12C45D357490}">
          <x15:cacheHierarchy aggregatedColumn="0"/>
        </ext>
      </extLst>
    </cacheHierarchy>
    <cacheHierarchy uniqueName="[Measures].[Sum of Current Stock]" caption="Sum of Current Stock" measure="1" displayFolder="" measureGroup="Main_Data" count="0" oneField="1" hidden="1">
      <fieldsUsage count="1">
        <fieldUsage x="5"/>
      </fieldsUsage>
      <extLst>
        <ext xmlns:x15="http://schemas.microsoft.com/office/spreadsheetml/2010/11/main" uri="{B97F6D7D-B522-45F9-BDA1-12C45D357490}">
          <x15:cacheHierarchy aggregatedColumn="2"/>
        </ext>
      </extLst>
    </cacheHierarchy>
    <cacheHierarchy uniqueName="[Measures].[Sum of Reorder Quantity]" caption="Sum of Reorder Quantity" measure="1" displayFolder="" measureGroup="Main_Data" count="0" oneField="1" hidden="1">
      <fieldsUsage count="1">
        <fieldUsage x="6"/>
      </fieldsUsage>
      <extLst>
        <ext xmlns:x15="http://schemas.microsoft.com/office/spreadsheetml/2010/11/main" uri="{B97F6D7D-B522-45F9-BDA1-12C45D357490}">
          <x15:cacheHierarchy aggregatedColumn="4"/>
        </ext>
      </extLst>
    </cacheHierarchy>
    <cacheHierarchy uniqueName="[Measures].[Count of Restock Status]" caption="Count of Restock Status" measure="1" displayFolder="" measureGroup="Main_Data" count="0" hidden="1">
      <extLst>
        <ext xmlns:x15="http://schemas.microsoft.com/office/spreadsheetml/2010/11/main" uri="{B97F6D7D-B522-45F9-BDA1-12C45D357490}">
          <x15:cacheHierarchy aggregatedColumn="15"/>
        </ext>
      </extLst>
    </cacheHierarchy>
    <cacheHierarchy uniqueName="[Measures].[Count of Warehouse Location]" caption="Count of Warehouse Location" measure="1" displayFolder="" measureGroup="Main_Data" count="0" hidden="1">
      <extLst>
        <ext xmlns:x15="http://schemas.microsoft.com/office/spreadsheetml/2010/11/main" uri="{B97F6D7D-B522-45F9-BDA1-12C45D357490}">
          <x15:cacheHierarchy aggregatedColumn="3"/>
        </ext>
      </extLst>
    </cacheHierarchy>
  </cacheHierarchies>
  <kpis count="0"/>
  <dimensions count="3">
    <dimension name="Main_Data" uniqueName="[Main_Data]" caption="Main_Data"/>
    <dimension measure="1" name="Measures" uniqueName="[Measures]" caption="Measures"/>
    <dimension name="supply_chain_data" uniqueName="[supply_chain_data]" caption="supply_chain_data"/>
  </dimensions>
  <measureGroups count="2">
    <measureGroup name="Main_Data" caption="Main_Data"/>
    <measureGroup name="supply_chain_data" caption="supply_chain_dat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79.981030902774" createdVersion="5" refreshedVersion="8" minRefreshableVersion="3" recordCount="0" supportSubquery="1" supportAdvancedDrill="1" xr:uid="{CD9E6F05-15B9-4AFD-92B0-83B57CC536EA}">
  <cacheSource type="external" connectionId="3"/>
  <cacheFields count="5">
    <cacheField name="[Main_Data].[Supplier].[Supplier]" caption="Supplier" numFmtId="0" hierarchy="6" level="1">
      <sharedItems count="5">
        <s v="Supplier 1"/>
        <s v="Supplier 2"/>
        <s v="Supplier 3"/>
        <s v="Supplier 4"/>
        <s v="Supplier 5"/>
      </sharedItems>
    </cacheField>
    <cacheField name="[Measures].[Average of Lead Time Days]" caption="Average of Lead Time Days" numFmtId="0" hierarchy="35" level="32767"/>
    <cacheField name="[Measures].[Count of SKU]" caption="Count of SKU" numFmtId="0" hierarchy="36" level="32767"/>
    <cacheField name="[Main_Data].[Restock Status].[Restock Status]" caption="Restock Status" numFmtId="0" hierarchy="15" level="1">
      <sharedItems containsSemiMixedTypes="0" containsNonDate="0" containsString="0"/>
    </cacheField>
    <cacheField name="[Main_Data].[Product Category].[Product Category]" caption="Product Category" numFmtId="0" hierarchy="1" level="1">
      <sharedItems containsSemiMixedTypes="0" containsNonDate="0" containsString="0"/>
    </cacheField>
  </cacheFields>
  <cacheHierarchies count="41">
    <cacheHierarchy uniqueName="[Main_Data].[SKU]" caption="SKU" attribute="1" defaultMemberUniqueName="[Main_Data].[SKU].[All]" allUniqueName="[Main_Data].[SKU].[All]" dimensionUniqueName="[Main_Data]" displayFolder="" count="0" memberValueDatatype="130" unbalanced="0"/>
    <cacheHierarchy uniqueName="[Main_Data].[Product Category]" caption="Product Category" attribute="1" defaultMemberUniqueName="[Main_Data].[Product Category].[All]" allUniqueName="[Main_Data].[Product Category].[All]" dimensionUniqueName="[Main_Data]" displayFolder="" count="2" memberValueDatatype="130" unbalanced="0">
      <fieldsUsage count="2">
        <fieldUsage x="-1"/>
        <fieldUsage x="4"/>
      </fieldsUsage>
    </cacheHierarchy>
    <cacheHierarchy uniqueName="[Main_Data].[Current Stock]" caption="Current Stock" attribute="1" defaultMemberUniqueName="[Main_Data].[Current Stock].[All]" allUniqueName="[Main_Data].[Current Stock].[All]" dimensionUniqueName="[Main_Data]" displayFolder="" count="0" memberValueDatatype="20" unbalanced="0"/>
    <cacheHierarchy uniqueName="[Main_Data].[Warehouse Location]" caption="Warehouse Location" attribute="1" defaultMemberUniqueName="[Main_Data].[Warehouse Location].[All]" allUniqueName="[Main_Data].[Warehouse Location].[All]" dimensionUniqueName="[Main_Data]" displayFolder="" count="2" memberValueDatatype="130" unbalanced="0"/>
    <cacheHierarchy uniqueName="[Main_Data].[Reorder Quantity]" caption="Reorder Quantity" attribute="1" defaultMemberUniqueName="[Main_Data].[Reorder Quantity].[All]" allUniqueName="[Main_Data].[Reorder Quantity].[All]" dimensionUniqueName="[Main_Data]" displayFolder="" count="0" memberValueDatatype="20" unbalanced="0"/>
    <cacheHierarchy uniqueName="[Main_Data].[Lead Time Days]" caption="Lead Time Days" attribute="1" defaultMemberUniqueName="[Main_Data].[Lead Time Days].[All]" allUniqueName="[Main_Data].[Lead Time Days].[All]" dimensionUniqueName="[Main_Data]" displayFolder="" count="0" memberValueDatatype="20" unbalanced="0"/>
    <cacheHierarchy uniqueName="[Main_Data].[Supplier]" caption="Supplier" attribute="1" defaultMemberUniqueName="[Main_Data].[Supplier].[All]" allUniqueName="[Main_Data].[Supplier].[All]" dimensionUniqueName="[Main_Data]" displayFolder="" count="2" memberValueDatatype="130" unbalanced="0">
      <fieldsUsage count="2">
        <fieldUsage x="-1"/>
        <fieldUsage x="0"/>
      </fieldsUsage>
    </cacheHierarchy>
    <cacheHierarchy uniqueName="[Main_Data].[Unit Cost]" caption="Unit Cost" attribute="1" defaultMemberUniqueName="[Main_Data].[Unit Cost].[All]" allUniqueName="[Main_Data].[Unit Cost].[All]" dimensionUniqueName="[Main_Data]" displayFolder="" count="0" memberValueDatatype="5" unbalanced="0"/>
    <cacheHierarchy uniqueName="[Main_Data].[Unit Selling Price]" caption="Unit Selling Price" attribute="1" defaultMemberUniqueName="[Main_Data].[Unit Selling Price].[All]" allUniqueName="[Main_Data].[Unit Selling Price].[All]" dimensionUniqueName="[Main_Data]" displayFolder="" count="0" memberValueDatatype="5" unbalanced="0"/>
    <cacheHierarchy uniqueName="[Main_Data].[Total Units Sold]" caption="Total Units Sold" attribute="1" defaultMemberUniqueName="[Main_Data].[Total Units Sold].[All]" allUniqueName="[Main_Data].[Total Units Sold].[All]" dimensionUniqueName="[Main_Data]" displayFolder="" count="0" memberValueDatatype="20" unbalanced="0"/>
    <cacheHierarchy uniqueName="[Main_Data].[Total Inventory Value]" caption="Total Inventory Value" attribute="1" defaultMemberUniqueName="[Main_Data].[Total Inventory Value].[All]" allUniqueName="[Main_Data].[Total Inventory Value].[All]" dimensionUniqueName="[Main_Data]" displayFolder="" count="0" memberValueDatatype="5" unbalanced="0"/>
    <cacheHierarchy uniqueName="[Main_Data].[Gross Profit Margin]" caption="Gross Profit Margin" attribute="1" defaultMemberUniqueName="[Main_Data].[Gross Profit Margin].[All]" allUniqueName="[Main_Data].[Gross Profit Margin].[All]" dimensionUniqueName="[Main_Data]" displayFolder="" count="0" memberValueDatatype="5" unbalanced="0"/>
    <cacheHierarchy uniqueName="[Main_Data].[Total Profit Generated]" caption="Total Profit Generated" attribute="1" defaultMemberUniqueName="[Main_Data].[Total Profit Generated].[All]" allUniqueName="[Main_Data].[Total Profit Generated].[All]" dimensionUniqueName="[Main_Data]" displayFolder="" count="0" memberValueDatatype="5" unbalanced="0"/>
    <cacheHierarchy uniqueName="[Main_Data].[Inventory Turnover Ratio]" caption="Inventory Turnover Ratio" attribute="1" defaultMemberUniqueName="[Main_Data].[Inventory Turnover Ratio].[All]" allUniqueName="[Main_Data].[Inventory Turnover Ratio].[All]" dimensionUniqueName="[Main_Data]" displayFolder="" count="0" memberValueDatatype="5" unbalanced="0"/>
    <cacheHierarchy uniqueName="[Main_Data].[Margin Check]" caption="Margin Check" attribute="1" defaultMemberUniqueName="[Main_Data].[Margin Check].[All]" allUniqueName="[Main_Data].[Margin Check].[All]" dimensionUniqueName="[Main_Data]" displayFolder="" count="0" memberValueDatatype="130" unbalanced="0"/>
    <cacheHierarchy uniqueName="[Main_Data].[Restock Status]" caption="Restock Status" attribute="1" defaultMemberUniqueName="[Main_Data].[Restock Status].[All]" allUniqueName="[Main_Data].[Restock Status].[All]" dimensionUniqueName="[Main_Data]" displayFolder="" count="2" memberValueDatatype="130" unbalanced="0">
      <fieldsUsage count="2">
        <fieldUsage x="-1"/>
        <fieldUsage x="3"/>
      </fieldsUsage>
    </cacheHierarchy>
    <cacheHierarchy uniqueName="[supply_chain_data].[SKU]" caption="SKU" attribute="1" defaultMemberUniqueName="[supply_chain_data].[SKU].[All]" allUniqueName="[supply_chain_data].[SKU].[All]" dimensionUniqueName="[supply_chain_data]" displayFolder="" count="0" memberValueDatatype="130" unbalanced="0"/>
    <cacheHierarchy uniqueName="[supply_chain_data].[Product Category]" caption="Product Category" attribute="1" defaultMemberUniqueName="[supply_chain_data].[Product Category].[All]" allUniqueName="[supply_chain_data].[Product Category].[All]" dimensionUniqueName="[supply_chain_data]" displayFolder="" count="0" memberValueDatatype="130" unbalanced="0"/>
    <cacheHierarchy uniqueName="[supply_chain_data].[Current Stock]" caption="Current Stock" attribute="1" defaultMemberUniqueName="[supply_chain_data].[Current Stock].[All]" allUniqueName="[supply_chain_data].[Current Stock].[All]" dimensionUniqueName="[supply_chain_data]" displayFolder="" count="0" memberValueDatatype="20" unbalanced="0"/>
    <cacheHierarchy uniqueName="[supply_chain_data].[Warehouse Location]" caption="Warehouse Location" attribute="1" defaultMemberUniqueName="[supply_chain_data].[Warehouse Location].[All]" allUniqueName="[supply_chain_data].[Warehouse Location].[All]" dimensionUniqueName="[supply_chain_data]" displayFolder="" count="0" memberValueDatatype="130" unbalanced="0"/>
    <cacheHierarchy uniqueName="[supply_chain_data].[Reorder Quantity]" caption="Reorder Quantity" attribute="1" defaultMemberUniqueName="[supply_chain_data].[Reorder Quantity].[All]" allUniqueName="[supply_chain_data].[Reorder Quantity].[All]" dimensionUniqueName="[supply_chain_data]" displayFolder="" count="0" memberValueDatatype="20" unbalanced="0"/>
    <cacheHierarchy uniqueName="[supply_chain_data].[Lead Time Days]" caption="Lead Time Days" attribute="1" defaultMemberUniqueName="[supply_chain_data].[Lead Time Days].[All]" allUniqueName="[supply_chain_data].[Lead Time Days].[All]" dimensionUniqueName="[supply_chain_data]" displayFolder="" count="0" memberValueDatatype="20" unbalanced="0"/>
    <cacheHierarchy uniqueName="[supply_chain_data].[Supplier]" caption="Supplier" attribute="1" defaultMemberUniqueName="[supply_chain_data].[Supplier].[All]" allUniqueName="[supply_chain_data].[Supplier].[All]" dimensionUniqueName="[supply_chain_data]" displayFolder="" count="0" memberValueDatatype="130" unbalanced="0"/>
    <cacheHierarchy uniqueName="[supply_chain_data].[Unit Cost]" caption="Unit Cost" attribute="1" defaultMemberUniqueName="[supply_chain_data].[Unit Cost].[All]" allUniqueName="[supply_chain_data].[Unit Cost].[All]" dimensionUniqueName="[supply_chain_data]" displayFolder="" count="0" memberValueDatatype="5" unbalanced="0"/>
    <cacheHierarchy uniqueName="[supply_chain_data].[Unit Selling Price]" caption="Unit Selling Price" attribute="1" defaultMemberUniqueName="[supply_chain_data].[Unit Selling Price].[All]" allUniqueName="[supply_chain_data].[Unit Selling Price].[All]" dimensionUniqueName="[supply_chain_data]" displayFolder="" count="0" memberValueDatatype="5" unbalanced="0"/>
    <cacheHierarchy uniqueName="[supply_chain_data].[Total Units Sold]" caption="Total Units Sold" attribute="1" defaultMemberUniqueName="[supply_chain_data].[Total Units Sold].[All]" allUniqueName="[supply_chain_data].[Total Units Sold].[All]" dimensionUniqueName="[supply_chain_data]" displayFolder="" count="0" memberValueDatatype="20" unbalanced="0"/>
    <cacheHierarchy uniqueName="[supply_chain_data].[Total Revenue]" caption="Total Revenue" attribute="1" defaultMemberUniqueName="[supply_chain_data].[Total Revenue].[All]" allUniqueName="[supply_chain_data].[Total Revenue].[All]" dimensionUniqueName="[supply_chain_data]" displayFolder="" count="0" memberValueDatatype="5" unbalanced="0"/>
    <cacheHierarchy uniqueName="[Measures].[__XL_Count supply_chain_data]" caption="__XL_Count supply_chain_data" measure="1" displayFolder="" measureGroup="supply_chain_data" count="0" hidden="1"/>
    <cacheHierarchy uniqueName="[Measures].[__XL_Count Main_Data]" caption="__XL_Count Main_Data" measure="1" displayFolder="" measureGroup="Main_Data" count="0" hidden="1"/>
    <cacheHierarchy uniqueName="[Measures].[__No measures defined]" caption="__No measures defined" measure="1" displayFolder="" count="0" hidden="1"/>
    <cacheHierarchy uniqueName="[Measures].[Sum of Total Inventory Value]" caption="Sum of Total Inventory Value" measure="1" displayFolder="" measureGroup="Main_Data" count="0" hidden="1">
      <extLst>
        <ext xmlns:x15="http://schemas.microsoft.com/office/spreadsheetml/2010/11/main" uri="{B97F6D7D-B522-45F9-BDA1-12C45D357490}">
          <x15:cacheHierarchy aggregatedColumn="10"/>
        </ext>
      </extLst>
    </cacheHierarchy>
    <cacheHierarchy uniqueName="[Measures].[Sum of Total Units Sold]" caption="Sum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Count of Total Units Sold]" caption="Count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Max of Total Units Sold]" caption="Max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Sum of Lead Time Days]" caption="Sum of Lead Time Days" measure="1" displayFolder="" measureGroup="Main_Data" count="0" hidden="1">
      <extLst>
        <ext xmlns:x15="http://schemas.microsoft.com/office/spreadsheetml/2010/11/main" uri="{B97F6D7D-B522-45F9-BDA1-12C45D357490}">
          <x15:cacheHierarchy aggregatedColumn="5"/>
        </ext>
      </extLst>
    </cacheHierarchy>
    <cacheHierarchy uniqueName="[Measures].[Average of Lead Time Days]" caption="Average of Lead Time Days" measure="1" displayFolder="" measureGroup="Main_Data"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SKU]" caption="Count of SKU" measure="1" displayFolder="" measureGroup="Main_Data"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Current Stock]" caption="Sum of Current Stock" measure="1" displayFolder="" measureGroup="Main_Data" count="0" hidden="1">
      <extLst>
        <ext xmlns:x15="http://schemas.microsoft.com/office/spreadsheetml/2010/11/main" uri="{B97F6D7D-B522-45F9-BDA1-12C45D357490}">
          <x15:cacheHierarchy aggregatedColumn="2"/>
        </ext>
      </extLst>
    </cacheHierarchy>
    <cacheHierarchy uniqueName="[Measures].[Sum of Reorder Quantity]" caption="Sum of Reorder Quantity" measure="1" displayFolder="" measureGroup="Main_Data" count="0" hidden="1">
      <extLst>
        <ext xmlns:x15="http://schemas.microsoft.com/office/spreadsheetml/2010/11/main" uri="{B97F6D7D-B522-45F9-BDA1-12C45D357490}">
          <x15:cacheHierarchy aggregatedColumn="4"/>
        </ext>
      </extLst>
    </cacheHierarchy>
    <cacheHierarchy uniqueName="[Measures].[Count of Restock Status]" caption="Count of Restock Status" measure="1" displayFolder="" measureGroup="Main_Data" count="0" hidden="1">
      <extLst>
        <ext xmlns:x15="http://schemas.microsoft.com/office/spreadsheetml/2010/11/main" uri="{B97F6D7D-B522-45F9-BDA1-12C45D357490}">
          <x15:cacheHierarchy aggregatedColumn="15"/>
        </ext>
      </extLst>
    </cacheHierarchy>
    <cacheHierarchy uniqueName="[Measures].[Count of Warehouse Location]" caption="Count of Warehouse Location" measure="1" displayFolder="" measureGroup="Main_Data" count="0" hidden="1">
      <extLst>
        <ext xmlns:x15="http://schemas.microsoft.com/office/spreadsheetml/2010/11/main" uri="{B97F6D7D-B522-45F9-BDA1-12C45D357490}">
          <x15:cacheHierarchy aggregatedColumn="3"/>
        </ext>
      </extLst>
    </cacheHierarchy>
  </cacheHierarchies>
  <kpis count="0"/>
  <dimensions count="3">
    <dimension name="Main_Data" uniqueName="[Main_Data]" caption="Main_Data"/>
    <dimension measure="1" name="Measures" uniqueName="[Measures]" caption="Measures"/>
    <dimension name="supply_chain_data" uniqueName="[supply_chain_data]" caption="supply_chain_data"/>
  </dimensions>
  <measureGroups count="2">
    <measureGroup name="Main_Data" caption="Main_Data"/>
    <measureGroup name="supply_chain_data" caption="supply_chain_dat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79.981031365744" createdVersion="5" refreshedVersion="8" minRefreshableVersion="3" recordCount="0" supportSubquery="1" supportAdvancedDrill="1" xr:uid="{6EDA01F8-EB14-4B69-99E1-AE690D35D017}">
  <cacheSource type="external" connectionId="3"/>
  <cacheFields count="4">
    <cacheField name="[Main_Data].[SKU].[SKU]" caption="SKU" numFmtId="0" level="1">
      <sharedItems count="22">
        <s v="SKU10"/>
        <s v="SKU11"/>
        <s v="SKU36"/>
        <s v="SKU37"/>
        <s v="SKU40"/>
        <s v="SKU44"/>
        <s v="SKU78"/>
        <s v="SKU9"/>
        <s v="SKU91"/>
        <s v="SKU94"/>
        <s v="SKU21" u="1"/>
        <s v="SKU33" u="1"/>
        <s v="SKU38" u="1"/>
        <s v="SKU4" u="1"/>
        <s v="SKU58" u="1"/>
        <s v="SKU80" u="1"/>
        <s v="SKU84" u="1"/>
        <s v="SKU98" u="1"/>
        <s v="SKU43" u="1"/>
        <s v="SKU65" u="1"/>
        <s v="SKU66" u="1"/>
        <s v="SKU47" u="1"/>
      </sharedItems>
    </cacheField>
    <cacheField name="[Measures].[Sum of Total Units Sold]" caption="Sum of Total Units Sold" numFmtId="0" hierarchy="31" level="32767"/>
    <cacheField name="[Main_Data].[Restock Status].[Restock Status]" caption="Restock Status" numFmtId="0" hierarchy="15" level="1">
      <sharedItems containsSemiMixedTypes="0" containsNonDate="0" containsString="0"/>
    </cacheField>
    <cacheField name="[Main_Data].[Product Category].[Product Category]" caption="Product Category" numFmtId="0" hierarchy="1" level="1">
      <sharedItems containsSemiMixedTypes="0" containsNonDate="0" containsString="0"/>
    </cacheField>
  </cacheFields>
  <cacheHierarchies count="41">
    <cacheHierarchy uniqueName="[Main_Data].[SKU]" caption="SKU" attribute="1" defaultMemberUniqueName="[Main_Data].[SKU].[All]" allUniqueName="[Main_Data].[SKU].[All]" dimensionUniqueName="[Main_Data]" displayFolder="" count="2" memberValueDatatype="130" unbalanced="0">
      <fieldsUsage count="2">
        <fieldUsage x="-1"/>
        <fieldUsage x="0"/>
      </fieldsUsage>
    </cacheHierarchy>
    <cacheHierarchy uniqueName="[Main_Data].[Product Category]" caption="Product Category" attribute="1" defaultMemberUniqueName="[Main_Data].[Product Category].[All]" allUniqueName="[Main_Data].[Product Category].[All]" dimensionUniqueName="[Main_Data]" displayFolder="" count="2" memberValueDatatype="130" unbalanced="0">
      <fieldsUsage count="2">
        <fieldUsage x="-1"/>
        <fieldUsage x="3"/>
      </fieldsUsage>
    </cacheHierarchy>
    <cacheHierarchy uniqueName="[Main_Data].[Current Stock]" caption="Current Stock" attribute="1" defaultMemberUniqueName="[Main_Data].[Current Stock].[All]" allUniqueName="[Main_Data].[Current Stock].[All]" dimensionUniqueName="[Main_Data]" displayFolder="" count="0" memberValueDatatype="20" unbalanced="0"/>
    <cacheHierarchy uniqueName="[Main_Data].[Warehouse Location]" caption="Warehouse Location" attribute="1" defaultMemberUniqueName="[Main_Data].[Warehouse Location].[All]" allUniqueName="[Main_Data].[Warehouse Location].[All]" dimensionUniqueName="[Main_Data]" displayFolder="" count="2" memberValueDatatype="130" unbalanced="0"/>
    <cacheHierarchy uniqueName="[Main_Data].[Reorder Quantity]" caption="Reorder Quantity" attribute="1" defaultMemberUniqueName="[Main_Data].[Reorder Quantity].[All]" allUniqueName="[Main_Data].[Reorder Quantity].[All]" dimensionUniqueName="[Main_Data]" displayFolder="" count="0" memberValueDatatype="20" unbalanced="0"/>
    <cacheHierarchy uniqueName="[Main_Data].[Lead Time Days]" caption="Lead Time Days" attribute="1" defaultMemberUniqueName="[Main_Data].[Lead Time Days].[All]" allUniqueName="[Main_Data].[Lead Time Days].[All]" dimensionUniqueName="[Main_Data]" displayFolder="" count="0" memberValueDatatype="20" unbalanced="0"/>
    <cacheHierarchy uniqueName="[Main_Data].[Supplier]" caption="Supplier" attribute="1" defaultMemberUniqueName="[Main_Data].[Supplier].[All]" allUniqueName="[Main_Data].[Supplier].[All]" dimensionUniqueName="[Main_Data]" displayFolder="" count="2" memberValueDatatype="130" unbalanced="0"/>
    <cacheHierarchy uniqueName="[Main_Data].[Unit Cost]" caption="Unit Cost" attribute="1" defaultMemberUniqueName="[Main_Data].[Unit Cost].[All]" allUniqueName="[Main_Data].[Unit Cost].[All]" dimensionUniqueName="[Main_Data]" displayFolder="" count="0" memberValueDatatype="5" unbalanced="0"/>
    <cacheHierarchy uniqueName="[Main_Data].[Unit Selling Price]" caption="Unit Selling Price" attribute="1" defaultMemberUniqueName="[Main_Data].[Unit Selling Price].[All]" allUniqueName="[Main_Data].[Unit Selling Price].[All]" dimensionUniqueName="[Main_Data]" displayFolder="" count="0" memberValueDatatype="5" unbalanced="0"/>
    <cacheHierarchy uniqueName="[Main_Data].[Total Units Sold]" caption="Total Units Sold" attribute="1" defaultMemberUniqueName="[Main_Data].[Total Units Sold].[All]" allUniqueName="[Main_Data].[Total Units Sold].[All]" dimensionUniqueName="[Main_Data]" displayFolder="" count="0" memberValueDatatype="20" unbalanced="0"/>
    <cacheHierarchy uniqueName="[Main_Data].[Total Inventory Value]" caption="Total Inventory Value" attribute="1" defaultMemberUniqueName="[Main_Data].[Total Inventory Value].[All]" allUniqueName="[Main_Data].[Total Inventory Value].[All]" dimensionUniqueName="[Main_Data]" displayFolder="" count="0" memberValueDatatype="5" unbalanced="0"/>
    <cacheHierarchy uniqueName="[Main_Data].[Gross Profit Margin]" caption="Gross Profit Margin" attribute="1" defaultMemberUniqueName="[Main_Data].[Gross Profit Margin].[All]" allUniqueName="[Main_Data].[Gross Profit Margin].[All]" dimensionUniqueName="[Main_Data]" displayFolder="" count="0" memberValueDatatype="5" unbalanced="0"/>
    <cacheHierarchy uniqueName="[Main_Data].[Total Profit Generated]" caption="Total Profit Generated" attribute="1" defaultMemberUniqueName="[Main_Data].[Total Profit Generated].[All]" allUniqueName="[Main_Data].[Total Profit Generated].[All]" dimensionUniqueName="[Main_Data]" displayFolder="" count="0" memberValueDatatype="5" unbalanced="0"/>
    <cacheHierarchy uniqueName="[Main_Data].[Inventory Turnover Ratio]" caption="Inventory Turnover Ratio" attribute="1" defaultMemberUniqueName="[Main_Data].[Inventory Turnover Ratio].[All]" allUniqueName="[Main_Data].[Inventory Turnover Ratio].[All]" dimensionUniqueName="[Main_Data]" displayFolder="" count="0" memberValueDatatype="5" unbalanced="0"/>
    <cacheHierarchy uniqueName="[Main_Data].[Margin Check]" caption="Margin Check" attribute="1" defaultMemberUniqueName="[Main_Data].[Margin Check].[All]" allUniqueName="[Main_Data].[Margin Check].[All]" dimensionUniqueName="[Main_Data]" displayFolder="" count="0" memberValueDatatype="130" unbalanced="0"/>
    <cacheHierarchy uniqueName="[Main_Data].[Restock Status]" caption="Restock Status" attribute="1" defaultMemberUniqueName="[Main_Data].[Restock Status].[All]" allUniqueName="[Main_Data].[Restock Status].[All]" dimensionUniqueName="[Main_Data]" displayFolder="" count="2" memberValueDatatype="130" unbalanced="0">
      <fieldsUsage count="2">
        <fieldUsage x="-1"/>
        <fieldUsage x="2"/>
      </fieldsUsage>
    </cacheHierarchy>
    <cacheHierarchy uniqueName="[supply_chain_data].[SKU]" caption="SKU" attribute="1" defaultMemberUniqueName="[supply_chain_data].[SKU].[All]" allUniqueName="[supply_chain_data].[SKU].[All]" dimensionUniqueName="[supply_chain_data]" displayFolder="" count="0" memberValueDatatype="130" unbalanced="0"/>
    <cacheHierarchy uniqueName="[supply_chain_data].[Product Category]" caption="Product Category" attribute="1" defaultMemberUniqueName="[supply_chain_data].[Product Category].[All]" allUniqueName="[supply_chain_data].[Product Category].[All]" dimensionUniqueName="[supply_chain_data]" displayFolder="" count="0" memberValueDatatype="130" unbalanced="0"/>
    <cacheHierarchy uniqueName="[supply_chain_data].[Current Stock]" caption="Current Stock" attribute="1" defaultMemberUniqueName="[supply_chain_data].[Current Stock].[All]" allUniqueName="[supply_chain_data].[Current Stock].[All]" dimensionUniqueName="[supply_chain_data]" displayFolder="" count="0" memberValueDatatype="20" unbalanced="0"/>
    <cacheHierarchy uniqueName="[supply_chain_data].[Warehouse Location]" caption="Warehouse Location" attribute="1" defaultMemberUniqueName="[supply_chain_data].[Warehouse Location].[All]" allUniqueName="[supply_chain_data].[Warehouse Location].[All]" dimensionUniqueName="[supply_chain_data]" displayFolder="" count="0" memberValueDatatype="130" unbalanced="0"/>
    <cacheHierarchy uniqueName="[supply_chain_data].[Reorder Quantity]" caption="Reorder Quantity" attribute="1" defaultMemberUniqueName="[supply_chain_data].[Reorder Quantity].[All]" allUniqueName="[supply_chain_data].[Reorder Quantity].[All]" dimensionUniqueName="[supply_chain_data]" displayFolder="" count="0" memberValueDatatype="20" unbalanced="0"/>
    <cacheHierarchy uniqueName="[supply_chain_data].[Lead Time Days]" caption="Lead Time Days" attribute="1" defaultMemberUniqueName="[supply_chain_data].[Lead Time Days].[All]" allUniqueName="[supply_chain_data].[Lead Time Days].[All]" dimensionUniqueName="[supply_chain_data]" displayFolder="" count="0" memberValueDatatype="20" unbalanced="0"/>
    <cacheHierarchy uniqueName="[supply_chain_data].[Supplier]" caption="Supplier" attribute="1" defaultMemberUniqueName="[supply_chain_data].[Supplier].[All]" allUniqueName="[supply_chain_data].[Supplier].[All]" dimensionUniqueName="[supply_chain_data]" displayFolder="" count="0" memberValueDatatype="130" unbalanced="0"/>
    <cacheHierarchy uniqueName="[supply_chain_data].[Unit Cost]" caption="Unit Cost" attribute="1" defaultMemberUniqueName="[supply_chain_data].[Unit Cost].[All]" allUniqueName="[supply_chain_data].[Unit Cost].[All]" dimensionUniqueName="[supply_chain_data]" displayFolder="" count="0" memberValueDatatype="5" unbalanced="0"/>
    <cacheHierarchy uniqueName="[supply_chain_data].[Unit Selling Price]" caption="Unit Selling Price" attribute="1" defaultMemberUniqueName="[supply_chain_data].[Unit Selling Price].[All]" allUniqueName="[supply_chain_data].[Unit Selling Price].[All]" dimensionUniqueName="[supply_chain_data]" displayFolder="" count="0" memberValueDatatype="5" unbalanced="0"/>
    <cacheHierarchy uniqueName="[supply_chain_data].[Total Units Sold]" caption="Total Units Sold" attribute="1" defaultMemberUniqueName="[supply_chain_data].[Total Units Sold].[All]" allUniqueName="[supply_chain_data].[Total Units Sold].[All]" dimensionUniqueName="[supply_chain_data]" displayFolder="" count="0" memberValueDatatype="20" unbalanced="0"/>
    <cacheHierarchy uniqueName="[supply_chain_data].[Total Revenue]" caption="Total Revenue" attribute="1" defaultMemberUniqueName="[supply_chain_data].[Total Revenue].[All]" allUniqueName="[supply_chain_data].[Total Revenue].[All]" dimensionUniqueName="[supply_chain_data]" displayFolder="" count="0" memberValueDatatype="5" unbalanced="0"/>
    <cacheHierarchy uniqueName="[Measures].[__XL_Count supply_chain_data]" caption="__XL_Count supply_chain_data" measure="1" displayFolder="" measureGroup="supply_chain_data" count="0" hidden="1"/>
    <cacheHierarchy uniqueName="[Measures].[__XL_Count Main_Data]" caption="__XL_Count Main_Data" measure="1" displayFolder="" measureGroup="Main_Data" count="0" hidden="1"/>
    <cacheHierarchy uniqueName="[Measures].[__No measures defined]" caption="__No measures defined" measure="1" displayFolder="" count="0" hidden="1"/>
    <cacheHierarchy uniqueName="[Measures].[Sum of Total Inventory Value]" caption="Sum of Total Inventory Value" measure="1" displayFolder="" measureGroup="Main_Data" count="0" hidden="1">
      <extLst>
        <ext xmlns:x15="http://schemas.microsoft.com/office/spreadsheetml/2010/11/main" uri="{B97F6D7D-B522-45F9-BDA1-12C45D357490}">
          <x15:cacheHierarchy aggregatedColumn="10"/>
        </ext>
      </extLst>
    </cacheHierarchy>
    <cacheHierarchy uniqueName="[Measures].[Sum of Total Units Sold]" caption="Sum of Total Units Sold" measure="1" displayFolder="" measureGroup="Main_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Total Units Sold]" caption="Count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Max of Total Units Sold]" caption="Max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Sum of Lead Time Days]" caption="Sum of Lead Time Days" measure="1" displayFolder="" measureGroup="Main_Data" count="0" hidden="1">
      <extLst>
        <ext xmlns:x15="http://schemas.microsoft.com/office/spreadsheetml/2010/11/main" uri="{B97F6D7D-B522-45F9-BDA1-12C45D357490}">
          <x15:cacheHierarchy aggregatedColumn="5"/>
        </ext>
      </extLst>
    </cacheHierarchy>
    <cacheHierarchy uniqueName="[Measures].[Average of Lead Time Days]" caption="Average of Lead Time Days" measure="1" displayFolder="" measureGroup="Main_Data" count="0" hidden="1">
      <extLst>
        <ext xmlns:x15="http://schemas.microsoft.com/office/spreadsheetml/2010/11/main" uri="{B97F6D7D-B522-45F9-BDA1-12C45D357490}">
          <x15:cacheHierarchy aggregatedColumn="5"/>
        </ext>
      </extLst>
    </cacheHierarchy>
    <cacheHierarchy uniqueName="[Measures].[Count of SKU]" caption="Count of SKU" measure="1" displayFolder="" measureGroup="Main_Data" count="0" hidden="1">
      <extLst>
        <ext xmlns:x15="http://schemas.microsoft.com/office/spreadsheetml/2010/11/main" uri="{B97F6D7D-B522-45F9-BDA1-12C45D357490}">
          <x15:cacheHierarchy aggregatedColumn="0"/>
        </ext>
      </extLst>
    </cacheHierarchy>
    <cacheHierarchy uniqueName="[Measures].[Sum of Current Stock]" caption="Sum of Current Stock" measure="1" displayFolder="" measureGroup="Main_Data" count="0" hidden="1">
      <extLst>
        <ext xmlns:x15="http://schemas.microsoft.com/office/spreadsheetml/2010/11/main" uri="{B97F6D7D-B522-45F9-BDA1-12C45D357490}">
          <x15:cacheHierarchy aggregatedColumn="2"/>
        </ext>
      </extLst>
    </cacheHierarchy>
    <cacheHierarchy uniqueName="[Measures].[Sum of Reorder Quantity]" caption="Sum of Reorder Quantity" measure="1" displayFolder="" measureGroup="Main_Data" count="0" hidden="1">
      <extLst>
        <ext xmlns:x15="http://schemas.microsoft.com/office/spreadsheetml/2010/11/main" uri="{B97F6D7D-B522-45F9-BDA1-12C45D357490}">
          <x15:cacheHierarchy aggregatedColumn="4"/>
        </ext>
      </extLst>
    </cacheHierarchy>
    <cacheHierarchy uniqueName="[Measures].[Count of Restock Status]" caption="Count of Restock Status" measure="1" displayFolder="" measureGroup="Main_Data" count="0" hidden="1">
      <extLst>
        <ext xmlns:x15="http://schemas.microsoft.com/office/spreadsheetml/2010/11/main" uri="{B97F6D7D-B522-45F9-BDA1-12C45D357490}">
          <x15:cacheHierarchy aggregatedColumn="15"/>
        </ext>
      </extLst>
    </cacheHierarchy>
    <cacheHierarchy uniqueName="[Measures].[Count of Warehouse Location]" caption="Count of Warehouse Location" measure="1" displayFolder="" measureGroup="Main_Data" count="0" hidden="1">
      <extLst>
        <ext xmlns:x15="http://schemas.microsoft.com/office/spreadsheetml/2010/11/main" uri="{B97F6D7D-B522-45F9-BDA1-12C45D357490}">
          <x15:cacheHierarchy aggregatedColumn="3"/>
        </ext>
      </extLst>
    </cacheHierarchy>
  </cacheHierarchies>
  <kpis count="0"/>
  <dimensions count="3">
    <dimension name="Main_Data" uniqueName="[Main_Data]" caption="Main_Data"/>
    <dimension measure="1" name="Measures" uniqueName="[Measures]" caption="Measures"/>
    <dimension name="supply_chain_data" uniqueName="[supply_chain_data]" caption="supply_chain_data"/>
  </dimensions>
  <measureGroups count="2">
    <measureGroup name="Main_Data" caption="Main_Data"/>
    <measureGroup name="supply_chain_data" caption="supply_chain_dat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79.981031481482" createdVersion="8" refreshedVersion="8" minRefreshableVersion="3" recordCount="0" supportSubquery="1" supportAdvancedDrill="1" xr:uid="{AA21B358-DC59-4F50-9E3B-B1983A0B33BA}">
  <cacheSource type="external" connectionId="3"/>
  <cacheFields count="3">
    <cacheField name="[Measures].[Sum of Total Inventory Value]" caption="Sum of Total Inventory Value" numFmtId="0" hierarchy="30" level="32767"/>
    <cacheField name="[Main_Data].[Restock Status].[Restock Status]" caption="Restock Status" numFmtId="0" hierarchy="15" level="1">
      <sharedItems containsSemiMixedTypes="0" containsNonDate="0" containsString="0"/>
    </cacheField>
    <cacheField name="[Main_Data].[Product Category].[Product Category]" caption="Product Category" numFmtId="0" hierarchy="1" level="1">
      <sharedItems containsSemiMixedTypes="0" containsNonDate="0" containsString="0"/>
    </cacheField>
  </cacheFields>
  <cacheHierarchies count="41">
    <cacheHierarchy uniqueName="[Main_Data].[SKU]" caption="SKU" attribute="1" defaultMemberUniqueName="[Main_Data].[SKU].[All]" allUniqueName="[Main_Data].[SKU].[All]" dimensionUniqueName="[Main_Data]" displayFolder="" count="0" memberValueDatatype="130" unbalanced="0"/>
    <cacheHierarchy uniqueName="[Main_Data].[Product Category]" caption="Product Category" attribute="1" defaultMemberUniqueName="[Main_Data].[Product Category].[All]" allUniqueName="[Main_Data].[Product Category].[All]" dimensionUniqueName="[Main_Data]" displayFolder="" count="2" memberValueDatatype="130" unbalanced="0">
      <fieldsUsage count="2">
        <fieldUsage x="-1"/>
        <fieldUsage x="2"/>
      </fieldsUsage>
    </cacheHierarchy>
    <cacheHierarchy uniqueName="[Main_Data].[Current Stock]" caption="Current Stock" attribute="1" defaultMemberUniqueName="[Main_Data].[Current Stock].[All]" allUniqueName="[Main_Data].[Current Stock].[All]" dimensionUniqueName="[Main_Data]" displayFolder="" count="0" memberValueDatatype="20" unbalanced="0"/>
    <cacheHierarchy uniqueName="[Main_Data].[Warehouse Location]" caption="Warehouse Location" attribute="1" defaultMemberUniqueName="[Main_Data].[Warehouse Location].[All]" allUniqueName="[Main_Data].[Warehouse Location].[All]" dimensionUniqueName="[Main_Data]" displayFolder="" count="2" memberValueDatatype="130" unbalanced="0"/>
    <cacheHierarchy uniqueName="[Main_Data].[Reorder Quantity]" caption="Reorder Quantity" attribute="1" defaultMemberUniqueName="[Main_Data].[Reorder Quantity].[All]" allUniqueName="[Main_Data].[Reorder Quantity].[All]" dimensionUniqueName="[Main_Data]" displayFolder="" count="0" memberValueDatatype="20" unbalanced="0"/>
    <cacheHierarchy uniqueName="[Main_Data].[Lead Time Days]" caption="Lead Time Days" attribute="1" defaultMemberUniqueName="[Main_Data].[Lead Time Days].[All]" allUniqueName="[Main_Data].[Lead Time Days].[All]" dimensionUniqueName="[Main_Data]" displayFolder="" count="0" memberValueDatatype="20" unbalanced="0"/>
    <cacheHierarchy uniqueName="[Main_Data].[Supplier]" caption="Supplier" attribute="1" defaultMemberUniqueName="[Main_Data].[Supplier].[All]" allUniqueName="[Main_Data].[Supplier].[All]" dimensionUniqueName="[Main_Data]" displayFolder="" count="2" memberValueDatatype="130" unbalanced="0"/>
    <cacheHierarchy uniqueName="[Main_Data].[Unit Cost]" caption="Unit Cost" attribute="1" defaultMemberUniqueName="[Main_Data].[Unit Cost].[All]" allUniqueName="[Main_Data].[Unit Cost].[All]" dimensionUniqueName="[Main_Data]" displayFolder="" count="0" memberValueDatatype="5" unbalanced="0"/>
    <cacheHierarchy uniqueName="[Main_Data].[Unit Selling Price]" caption="Unit Selling Price" attribute="1" defaultMemberUniqueName="[Main_Data].[Unit Selling Price].[All]" allUniqueName="[Main_Data].[Unit Selling Price].[All]" dimensionUniqueName="[Main_Data]" displayFolder="" count="0" memberValueDatatype="5" unbalanced="0"/>
    <cacheHierarchy uniqueName="[Main_Data].[Total Units Sold]" caption="Total Units Sold" attribute="1" defaultMemberUniqueName="[Main_Data].[Total Units Sold].[All]" allUniqueName="[Main_Data].[Total Units Sold].[All]" dimensionUniqueName="[Main_Data]" displayFolder="" count="0" memberValueDatatype="20" unbalanced="0"/>
    <cacheHierarchy uniqueName="[Main_Data].[Total Inventory Value]" caption="Total Inventory Value" attribute="1" defaultMemberUniqueName="[Main_Data].[Total Inventory Value].[All]" allUniqueName="[Main_Data].[Total Inventory Value].[All]" dimensionUniqueName="[Main_Data]" displayFolder="" count="0" memberValueDatatype="5" unbalanced="0"/>
    <cacheHierarchy uniqueName="[Main_Data].[Gross Profit Margin]" caption="Gross Profit Margin" attribute="1" defaultMemberUniqueName="[Main_Data].[Gross Profit Margin].[All]" allUniqueName="[Main_Data].[Gross Profit Margin].[All]" dimensionUniqueName="[Main_Data]" displayFolder="" count="0" memberValueDatatype="5" unbalanced="0"/>
    <cacheHierarchy uniqueName="[Main_Data].[Total Profit Generated]" caption="Total Profit Generated" attribute="1" defaultMemberUniqueName="[Main_Data].[Total Profit Generated].[All]" allUniqueName="[Main_Data].[Total Profit Generated].[All]" dimensionUniqueName="[Main_Data]" displayFolder="" count="0" memberValueDatatype="5" unbalanced="0"/>
    <cacheHierarchy uniqueName="[Main_Data].[Inventory Turnover Ratio]" caption="Inventory Turnover Ratio" attribute="1" defaultMemberUniqueName="[Main_Data].[Inventory Turnover Ratio].[All]" allUniqueName="[Main_Data].[Inventory Turnover Ratio].[All]" dimensionUniqueName="[Main_Data]" displayFolder="" count="0" memberValueDatatype="5" unbalanced="0"/>
    <cacheHierarchy uniqueName="[Main_Data].[Margin Check]" caption="Margin Check" attribute="1" defaultMemberUniqueName="[Main_Data].[Margin Check].[All]" allUniqueName="[Main_Data].[Margin Check].[All]" dimensionUniqueName="[Main_Data]" displayFolder="" count="0" memberValueDatatype="130" unbalanced="0"/>
    <cacheHierarchy uniqueName="[Main_Data].[Restock Status]" caption="Restock Status" attribute="1" defaultMemberUniqueName="[Main_Data].[Restock Status].[All]" allUniqueName="[Main_Data].[Restock Status].[All]" dimensionUniqueName="[Main_Data]" displayFolder="" count="2" memberValueDatatype="130" unbalanced="0">
      <fieldsUsage count="2">
        <fieldUsage x="-1"/>
        <fieldUsage x="1"/>
      </fieldsUsage>
    </cacheHierarchy>
    <cacheHierarchy uniqueName="[supply_chain_data].[SKU]" caption="SKU" attribute="1" defaultMemberUniqueName="[supply_chain_data].[SKU].[All]" allUniqueName="[supply_chain_data].[SKU].[All]" dimensionUniqueName="[supply_chain_data]" displayFolder="" count="0" memberValueDatatype="130" unbalanced="0"/>
    <cacheHierarchy uniqueName="[supply_chain_data].[Product Category]" caption="Product Category" attribute="1" defaultMemberUniqueName="[supply_chain_data].[Product Category].[All]" allUniqueName="[supply_chain_data].[Product Category].[All]" dimensionUniqueName="[supply_chain_data]" displayFolder="" count="0" memberValueDatatype="130" unbalanced="0"/>
    <cacheHierarchy uniqueName="[supply_chain_data].[Current Stock]" caption="Current Stock" attribute="1" defaultMemberUniqueName="[supply_chain_data].[Current Stock].[All]" allUniqueName="[supply_chain_data].[Current Stock].[All]" dimensionUniqueName="[supply_chain_data]" displayFolder="" count="0" memberValueDatatype="20" unbalanced="0"/>
    <cacheHierarchy uniqueName="[supply_chain_data].[Warehouse Location]" caption="Warehouse Location" attribute="1" defaultMemberUniqueName="[supply_chain_data].[Warehouse Location].[All]" allUniqueName="[supply_chain_data].[Warehouse Location].[All]" dimensionUniqueName="[supply_chain_data]" displayFolder="" count="0" memberValueDatatype="130" unbalanced="0"/>
    <cacheHierarchy uniqueName="[supply_chain_data].[Reorder Quantity]" caption="Reorder Quantity" attribute="1" defaultMemberUniqueName="[supply_chain_data].[Reorder Quantity].[All]" allUniqueName="[supply_chain_data].[Reorder Quantity].[All]" dimensionUniqueName="[supply_chain_data]" displayFolder="" count="0" memberValueDatatype="20" unbalanced="0"/>
    <cacheHierarchy uniqueName="[supply_chain_data].[Lead Time Days]" caption="Lead Time Days" attribute="1" defaultMemberUniqueName="[supply_chain_data].[Lead Time Days].[All]" allUniqueName="[supply_chain_data].[Lead Time Days].[All]" dimensionUniqueName="[supply_chain_data]" displayFolder="" count="0" memberValueDatatype="20" unbalanced="0"/>
    <cacheHierarchy uniqueName="[supply_chain_data].[Supplier]" caption="Supplier" attribute="1" defaultMemberUniqueName="[supply_chain_data].[Supplier].[All]" allUniqueName="[supply_chain_data].[Supplier].[All]" dimensionUniqueName="[supply_chain_data]" displayFolder="" count="0" memberValueDatatype="130" unbalanced="0"/>
    <cacheHierarchy uniqueName="[supply_chain_data].[Unit Cost]" caption="Unit Cost" attribute="1" defaultMemberUniqueName="[supply_chain_data].[Unit Cost].[All]" allUniqueName="[supply_chain_data].[Unit Cost].[All]" dimensionUniqueName="[supply_chain_data]" displayFolder="" count="0" memberValueDatatype="5" unbalanced="0"/>
    <cacheHierarchy uniqueName="[supply_chain_data].[Unit Selling Price]" caption="Unit Selling Price" attribute="1" defaultMemberUniqueName="[supply_chain_data].[Unit Selling Price].[All]" allUniqueName="[supply_chain_data].[Unit Selling Price].[All]" dimensionUniqueName="[supply_chain_data]" displayFolder="" count="0" memberValueDatatype="5" unbalanced="0"/>
    <cacheHierarchy uniqueName="[supply_chain_data].[Total Units Sold]" caption="Total Units Sold" attribute="1" defaultMemberUniqueName="[supply_chain_data].[Total Units Sold].[All]" allUniqueName="[supply_chain_data].[Total Units Sold].[All]" dimensionUniqueName="[supply_chain_data]" displayFolder="" count="0" memberValueDatatype="20" unbalanced="0"/>
    <cacheHierarchy uniqueName="[supply_chain_data].[Total Revenue]" caption="Total Revenue" attribute="1" defaultMemberUniqueName="[supply_chain_data].[Total Revenue].[All]" allUniqueName="[supply_chain_data].[Total Revenue].[All]" dimensionUniqueName="[supply_chain_data]" displayFolder="" count="0" memberValueDatatype="5" unbalanced="0"/>
    <cacheHierarchy uniqueName="[Measures].[__XL_Count supply_chain_data]" caption="__XL_Count supply_chain_data" measure="1" displayFolder="" measureGroup="supply_chain_data" count="0" hidden="1"/>
    <cacheHierarchy uniqueName="[Measures].[__XL_Count Main_Data]" caption="__XL_Count Main_Data" measure="1" displayFolder="" measureGroup="Main_Data" count="0" hidden="1"/>
    <cacheHierarchy uniqueName="[Measures].[__No measures defined]" caption="__No measures defined" measure="1" displayFolder="" count="0" hidden="1"/>
    <cacheHierarchy uniqueName="[Measures].[Sum of Total Inventory Value]" caption="Sum of Total Inventory Value" measure="1" displayFolder="" measureGroup="Main_Data"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Total Units Sold]" caption="Sum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Count of Total Units Sold]" caption="Count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Max of Total Units Sold]" caption="Max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Sum of Lead Time Days]" caption="Sum of Lead Time Days" measure="1" displayFolder="" measureGroup="Main_Data" count="0" hidden="1">
      <extLst>
        <ext xmlns:x15="http://schemas.microsoft.com/office/spreadsheetml/2010/11/main" uri="{B97F6D7D-B522-45F9-BDA1-12C45D357490}">
          <x15:cacheHierarchy aggregatedColumn="5"/>
        </ext>
      </extLst>
    </cacheHierarchy>
    <cacheHierarchy uniqueName="[Measures].[Average of Lead Time Days]" caption="Average of Lead Time Days" measure="1" displayFolder="" measureGroup="Main_Data" count="0" hidden="1">
      <extLst>
        <ext xmlns:x15="http://schemas.microsoft.com/office/spreadsheetml/2010/11/main" uri="{B97F6D7D-B522-45F9-BDA1-12C45D357490}">
          <x15:cacheHierarchy aggregatedColumn="5"/>
        </ext>
      </extLst>
    </cacheHierarchy>
    <cacheHierarchy uniqueName="[Measures].[Count of SKU]" caption="Count of SKU" measure="1" displayFolder="" measureGroup="Main_Data" count="0" hidden="1">
      <extLst>
        <ext xmlns:x15="http://schemas.microsoft.com/office/spreadsheetml/2010/11/main" uri="{B97F6D7D-B522-45F9-BDA1-12C45D357490}">
          <x15:cacheHierarchy aggregatedColumn="0"/>
        </ext>
      </extLst>
    </cacheHierarchy>
    <cacheHierarchy uniqueName="[Measures].[Sum of Current Stock]" caption="Sum of Current Stock" measure="1" displayFolder="" measureGroup="Main_Data" count="0" hidden="1">
      <extLst>
        <ext xmlns:x15="http://schemas.microsoft.com/office/spreadsheetml/2010/11/main" uri="{B97F6D7D-B522-45F9-BDA1-12C45D357490}">
          <x15:cacheHierarchy aggregatedColumn="2"/>
        </ext>
      </extLst>
    </cacheHierarchy>
    <cacheHierarchy uniqueName="[Measures].[Sum of Reorder Quantity]" caption="Sum of Reorder Quantity" measure="1" displayFolder="" measureGroup="Main_Data" count="0" hidden="1">
      <extLst>
        <ext xmlns:x15="http://schemas.microsoft.com/office/spreadsheetml/2010/11/main" uri="{B97F6D7D-B522-45F9-BDA1-12C45D357490}">
          <x15:cacheHierarchy aggregatedColumn="4"/>
        </ext>
      </extLst>
    </cacheHierarchy>
    <cacheHierarchy uniqueName="[Measures].[Count of Restock Status]" caption="Count of Restock Status" measure="1" displayFolder="" measureGroup="Main_Data" count="0" hidden="1">
      <extLst>
        <ext xmlns:x15="http://schemas.microsoft.com/office/spreadsheetml/2010/11/main" uri="{B97F6D7D-B522-45F9-BDA1-12C45D357490}">
          <x15:cacheHierarchy aggregatedColumn="15"/>
        </ext>
      </extLst>
    </cacheHierarchy>
    <cacheHierarchy uniqueName="[Measures].[Count of Warehouse Location]" caption="Count of Warehouse Location" measure="1" displayFolder="" measureGroup="Main_Data" count="0" hidden="1">
      <extLst>
        <ext xmlns:x15="http://schemas.microsoft.com/office/spreadsheetml/2010/11/main" uri="{B97F6D7D-B522-45F9-BDA1-12C45D357490}">
          <x15:cacheHierarchy aggregatedColumn="3"/>
        </ext>
      </extLst>
    </cacheHierarchy>
  </cacheHierarchies>
  <kpis count="0"/>
  <dimensions count="3">
    <dimension name="Main_Data" uniqueName="[Main_Data]" caption="Main_Data"/>
    <dimension measure="1" name="Measures" uniqueName="[Measures]" caption="Measures"/>
    <dimension name="supply_chain_data" uniqueName="[supply_chain_data]" caption="supply_chain_data"/>
  </dimensions>
  <measureGroups count="2">
    <measureGroup name="Main_Data" caption="Main_Data"/>
    <measureGroup name="supply_chain_data" caption="supply_chain_dat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79.981031597221" createdVersion="8" refreshedVersion="8" minRefreshableVersion="3" recordCount="0" supportSubquery="1" supportAdvancedDrill="1" xr:uid="{9777B8A1-5739-4994-975F-574BA3BEDFE1}">
  <cacheSource type="external" connectionId="3"/>
  <cacheFields count="3">
    <cacheField name="[Measures].[Average of Lead Time Days]" caption="Average of Lead Time Days" numFmtId="0" hierarchy="35" level="32767"/>
    <cacheField name="[Main_Data].[Restock Status].[Restock Status]" caption="Restock Status" numFmtId="0" hierarchy="15" level="1">
      <sharedItems containsSemiMixedTypes="0" containsNonDate="0" containsString="0"/>
    </cacheField>
    <cacheField name="[Main_Data].[Product Category].[Product Category]" caption="Product Category" numFmtId="0" hierarchy="1" level="1">
      <sharedItems containsSemiMixedTypes="0" containsNonDate="0" containsString="0"/>
    </cacheField>
  </cacheFields>
  <cacheHierarchies count="41">
    <cacheHierarchy uniqueName="[Main_Data].[SKU]" caption="SKU" attribute="1" defaultMemberUniqueName="[Main_Data].[SKU].[All]" allUniqueName="[Main_Data].[SKU].[All]" dimensionUniqueName="[Main_Data]" displayFolder="" count="0" memberValueDatatype="130" unbalanced="0"/>
    <cacheHierarchy uniqueName="[Main_Data].[Product Category]" caption="Product Category" attribute="1" defaultMemberUniqueName="[Main_Data].[Product Category].[All]" allUniqueName="[Main_Data].[Product Category].[All]" dimensionUniqueName="[Main_Data]" displayFolder="" count="2" memberValueDatatype="130" unbalanced="0">
      <fieldsUsage count="2">
        <fieldUsage x="-1"/>
        <fieldUsage x="2"/>
      </fieldsUsage>
    </cacheHierarchy>
    <cacheHierarchy uniqueName="[Main_Data].[Current Stock]" caption="Current Stock" attribute="1" defaultMemberUniqueName="[Main_Data].[Current Stock].[All]" allUniqueName="[Main_Data].[Current Stock].[All]" dimensionUniqueName="[Main_Data]" displayFolder="" count="0" memberValueDatatype="20" unbalanced="0"/>
    <cacheHierarchy uniqueName="[Main_Data].[Warehouse Location]" caption="Warehouse Location" attribute="1" defaultMemberUniqueName="[Main_Data].[Warehouse Location].[All]" allUniqueName="[Main_Data].[Warehouse Location].[All]" dimensionUniqueName="[Main_Data]" displayFolder="" count="2" memberValueDatatype="130" unbalanced="0"/>
    <cacheHierarchy uniqueName="[Main_Data].[Reorder Quantity]" caption="Reorder Quantity" attribute="1" defaultMemberUniqueName="[Main_Data].[Reorder Quantity].[All]" allUniqueName="[Main_Data].[Reorder Quantity].[All]" dimensionUniqueName="[Main_Data]" displayFolder="" count="0" memberValueDatatype="20" unbalanced="0"/>
    <cacheHierarchy uniqueName="[Main_Data].[Lead Time Days]" caption="Lead Time Days" attribute="1" defaultMemberUniqueName="[Main_Data].[Lead Time Days].[All]" allUniqueName="[Main_Data].[Lead Time Days].[All]" dimensionUniqueName="[Main_Data]" displayFolder="" count="0" memberValueDatatype="20" unbalanced="0"/>
    <cacheHierarchy uniqueName="[Main_Data].[Supplier]" caption="Supplier" attribute="1" defaultMemberUniqueName="[Main_Data].[Supplier].[All]" allUniqueName="[Main_Data].[Supplier].[All]" dimensionUniqueName="[Main_Data]" displayFolder="" count="2" memberValueDatatype="130" unbalanced="0"/>
    <cacheHierarchy uniqueName="[Main_Data].[Unit Cost]" caption="Unit Cost" attribute="1" defaultMemberUniqueName="[Main_Data].[Unit Cost].[All]" allUniqueName="[Main_Data].[Unit Cost].[All]" dimensionUniqueName="[Main_Data]" displayFolder="" count="0" memberValueDatatype="5" unbalanced="0"/>
    <cacheHierarchy uniqueName="[Main_Data].[Unit Selling Price]" caption="Unit Selling Price" attribute="1" defaultMemberUniqueName="[Main_Data].[Unit Selling Price].[All]" allUniqueName="[Main_Data].[Unit Selling Price].[All]" dimensionUniqueName="[Main_Data]" displayFolder="" count="0" memberValueDatatype="5" unbalanced="0"/>
    <cacheHierarchy uniqueName="[Main_Data].[Total Units Sold]" caption="Total Units Sold" attribute="1" defaultMemberUniqueName="[Main_Data].[Total Units Sold].[All]" allUniqueName="[Main_Data].[Total Units Sold].[All]" dimensionUniqueName="[Main_Data]" displayFolder="" count="0" memberValueDatatype="20" unbalanced="0"/>
    <cacheHierarchy uniqueName="[Main_Data].[Total Inventory Value]" caption="Total Inventory Value" attribute="1" defaultMemberUniqueName="[Main_Data].[Total Inventory Value].[All]" allUniqueName="[Main_Data].[Total Inventory Value].[All]" dimensionUniqueName="[Main_Data]" displayFolder="" count="0" memberValueDatatype="5" unbalanced="0"/>
    <cacheHierarchy uniqueName="[Main_Data].[Gross Profit Margin]" caption="Gross Profit Margin" attribute="1" defaultMemberUniqueName="[Main_Data].[Gross Profit Margin].[All]" allUniqueName="[Main_Data].[Gross Profit Margin].[All]" dimensionUniqueName="[Main_Data]" displayFolder="" count="0" memberValueDatatype="5" unbalanced="0"/>
    <cacheHierarchy uniqueName="[Main_Data].[Total Profit Generated]" caption="Total Profit Generated" attribute="1" defaultMemberUniqueName="[Main_Data].[Total Profit Generated].[All]" allUniqueName="[Main_Data].[Total Profit Generated].[All]" dimensionUniqueName="[Main_Data]" displayFolder="" count="0" memberValueDatatype="5" unbalanced="0"/>
    <cacheHierarchy uniqueName="[Main_Data].[Inventory Turnover Ratio]" caption="Inventory Turnover Ratio" attribute="1" defaultMemberUniqueName="[Main_Data].[Inventory Turnover Ratio].[All]" allUniqueName="[Main_Data].[Inventory Turnover Ratio].[All]" dimensionUniqueName="[Main_Data]" displayFolder="" count="0" memberValueDatatype="5" unbalanced="0"/>
    <cacheHierarchy uniqueName="[Main_Data].[Margin Check]" caption="Margin Check" attribute="1" defaultMemberUniqueName="[Main_Data].[Margin Check].[All]" allUniqueName="[Main_Data].[Margin Check].[All]" dimensionUniqueName="[Main_Data]" displayFolder="" count="0" memberValueDatatype="130" unbalanced="0"/>
    <cacheHierarchy uniqueName="[Main_Data].[Restock Status]" caption="Restock Status" attribute="1" defaultMemberUniqueName="[Main_Data].[Restock Status].[All]" allUniqueName="[Main_Data].[Restock Status].[All]" dimensionUniqueName="[Main_Data]" displayFolder="" count="2" memberValueDatatype="130" unbalanced="0">
      <fieldsUsage count="2">
        <fieldUsage x="-1"/>
        <fieldUsage x="1"/>
      </fieldsUsage>
    </cacheHierarchy>
    <cacheHierarchy uniqueName="[supply_chain_data].[SKU]" caption="SKU" attribute="1" defaultMemberUniqueName="[supply_chain_data].[SKU].[All]" allUniqueName="[supply_chain_data].[SKU].[All]" dimensionUniqueName="[supply_chain_data]" displayFolder="" count="0" memberValueDatatype="130" unbalanced="0"/>
    <cacheHierarchy uniqueName="[supply_chain_data].[Product Category]" caption="Product Category" attribute="1" defaultMemberUniqueName="[supply_chain_data].[Product Category].[All]" allUniqueName="[supply_chain_data].[Product Category].[All]" dimensionUniqueName="[supply_chain_data]" displayFolder="" count="0" memberValueDatatype="130" unbalanced="0"/>
    <cacheHierarchy uniqueName="[supply_chain_data].[Current Stock]" caption="Current Stock" attribute="1" defaultMemberUniqueName="[supply_chain_data].[Current Stock].[All]" allUniqueName="[supply_chain_data].[Current Stock].[All]" dimensionUniqueName="[supply_chain_data]" displayFolder="" count="0" memberValueDatatype="20" unbalanced="0"/>
    <cacheHierarchy uniqueName="[supply_chain_data].[Warehouse Location]" caption="Warehouse Location" attribute="1" defaultMemberUniqueName="[supply_chain_data].[Warehouse Location].[All]" allUniqueName="[supply_chain_data].[Warehouse Location].[All]" dimensionUniqueName="[supply_chain_data]" displayFolder="" count="0" memberValueDatatype="130" unbalanced="0"/>
    <cacheHierarchy uniqueName="[supply_chain_data].[Reorder Quantity]" caption="Reorder Quantity" attribute="1" defaultMemberUniqueName="[supply_chain_data].[Reorder Quantity].[All]" allUniqueName="[supply_chain_data].[Reorder Quantity].[All]" dimensionUniqueName="[supply_chain_data]" displayFolder="" count="0" memberValueDatatype="20" unbalanced="0"/>
    <cacheHierarchy uniqueName="[supply_chain_data].[Lead Time Days]" caption="Lead Time Days" attribute="1" defaultMemberUniqueName="[supply_chain_data].[Lead Time Days].[All]" allUniqueName="[supply_chain_data].[Lead Time Days].[All]" dimensionUniqueName="[supply_chain_data]" displayFolder="" count="0" memberValueDatatype="20" unbalanced="0"/>
    <cacheHierarchy uniqueName="[supply_chain_data].[Supplier]" caption="Supplier" attribute="1" defaultMemberUniqueName="[supply_chain_data].[Supplier].[All]" allUniqueName="[supply_chain_data].[Supplier].[All]" dimensionUniqueName="[supply_chain_data]" displayFolder="" count="0" memberValueDatatype="130" unbalanced="0"/>
    <cacheHierarchy uniqueName="[supply_chain_data].[Unit Cost]" caption="Unit Cost" attribute="1" defaultMemberUniqueName="[supply_chain_data].[Unit Cost].[All]" allUniqueName="[supply_chain_data].[Unit Cost].[All]" dimensionUniqueName="[supply_chain_data]" displayFolder="" count="0" memberValueDatatype="5" unbalanced="0"/>
    <cacheHierarchy uniqueName="[supply_chain_data].[Unit Selling Price]" caption="Unit Selling Price" attribute="1" defaultMemberUniqueName="[supply_chain_data].[Unit Selling Price].[All]" allUniqueName="[supply_chain_data].[Unit Selling Price].[All]" dimensionUniqueName="[supply_chain_data]" displayFolder="" count="0" memberValueDatatype="5" unbalanced="0"/>
    <cacheHierarchy uniqueName="[supply_chain_data].[Total Units Sold]" caption="Total Units Sold" attribute="1" defaultMemberUniqueName="[supply_chain_data].[Total Units Sold].[All]" allUniqueName="[supply_chain_data].[Total Units Sold].[All]" dimensionUniqueName="[supply_chain_data]" displayFolder="" count="0" memberValueDatatype="20" unbalanced="0"/>
    <cacheHierarchy uniqueName="[supply_chain_data].[Total Revenue]" caption="Total Revenue" attribute="1" defaultMemberUniqueName="[supply_chain_data].[Total Revenue].[All]" allUniqueName="[supply_chain_data].[Total Revenue].[All]" dimensionUniqueName="[supply_chain_data]" displayFolder="" count="0" memberValueDatatype="5" unbalanced="0"/>
    <cacheHierarchy uniqueName="[Measures].[__XL_Count supply_chain_data]" caption="__XL_Count supply_chain_data" measure="1" displayFolder="" measureGroup="supply_chain_data" count="0" hidden="1"/>
    <cacheHierarchy uniqueName="[Measures].[__XL_Count Main_Data]" caption="__XL_Count Main_Data" measure="1" displayFolder="" measureGroup="Main_Data" count="0" hidden="1"/>
    <cacheHierarchy uniqueName="[Measures].[__No measures defined]" caption="__No measures defined" measure="1" displayFolder="" count="0" hidden="1"/>
    <cacheHierarchy uniqueName="[Measures].[Sum of Total Inventory Value]" caption="Sum of Total Inventory Value" measure="1" displayFolder="" measureGroup="Main_Data" count="0" hidden="1">
      <extLst>
        <ext xmlns:x15="http://schemas.microsoft.com/office/spreadsheetml/2010/11/main" uri="{B97F6D7D-B522-45F9-BDA1-12C45D357490}">
          <x15:cacheHierarchy aggregatedColumn="10"/>
        </ext>
      </extLst>
    </cacheHierarchy>
    <cacheHierarchy uniqueName="[Measures].[Sum of Total Units Sold]" caption="Sum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Count of Total Units Sold]" caption="Count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Max of Total Units Sold]" caption="Max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Sum of Lead Time Days]" caption="Sum of Lead Time Days" measure="1" displayFolder="" measureGroup="Main_Data" count="0" hidden="1">
      <extLst>
        <ext xmlns:x15="http://schemas.microsoft.com/office/spreadsheetml/2010/11/main" uri="{B97F6D7D-B522-45F9-BDA1-12C45D357490}">
          <x15:cacheHierarchy aggregatedColumn="5"/>
        </ext>
      </extLst>
    </cacheHierarchy>
    <cacheHierarchy uniqueName="[Measures].[Average of Lead Time Days]" caption="Average of Lead Time Days" measure="1" displayFolder="" measureGroup="Main_Data"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SKU]" caption="Count of SKU" measure="1" displayFolder="" measureGroup="Main_Data" count="0" hidden="1">
      <extLst>
        <ext xmlns:x15="http://schemas.microsoft.com/office/spreadsheetml/2010/11/main" uri="{B97F6D7D-B522-45F9-BDA1-12C45D357490}">
          <x15:cacheHierarchy aggregatedColumn="0"/>
        </ext>
      </extLst>
    </cacheHierarchy>
    <cacheHierarchy uniqueName="[Measures].[Sum of Current Stock]" caption="Sum of Current Stock" measure="1" displayFolder="" measureGroup="Main_Data" count="0" hidden="1">
      <extLst>
        <ext xmlns:x15="http://schemas.microsoft.com/office/spreadsheetml/2010/11/main" uri="{B97F6D7D-B522-45F9-BDA1-12C45D357490}">
          <x15:cacheHierarchy aggregatedColumn="2"/>
        </ext>
      </extLst>
    </cacheHierarchy>
    <cacheHierarchy uniqueName="[Measures].[Sum of Reorder Quantity]" caption="Sum of Reorder Quantity" measure="1" displayFolder="" measureGroup="Main_Data" count="0" hidden="1">
      <extLst>
        <ext xmlns:x15="http://schemas.microsoft.com/office/spreadsheetml/2010/11/main" uri="{B97F6D7D-B522-45F9-BDA1-12C45D357490}">
          <x15:cacheHierarchy aggregatedColumn="4"/>
        </ext>
      </extLst>
    </cacheHierarchy>
    <cacheHierarchy uniqueName="[Measures].[Count of Restock Status]" caption="Count of Restock Status" measure="1" displayFolder="" measureGroup="Main_Data" count="0" hidden="1">
      <extLst>
        <ext xmlns:x15="http://schemas.microsoft.com/office/spreadsheetml/2010/11/main" uri="{B97F6D7D-B522-45F9-BDA1-12C45D357490}">
          <x15:cacheHierarchy aggregatedColumn="15"/>
        </ext>
      </extLst>
    </cacheHierarchy>
    <cacheHierarchy uniqueName="[Measures].[Count of Warehouse Location]" caption="Count of Warehouse Location" measure="1" displayFolder="" measureGroup="Main_Data" count="0" hidden="1">
      <extLst>
        <ext xmlns:x15="http://schemas.microsoft.com/office/spreadsheetml/2010/11/main" uri="{B97F6D7D-B522-45F9-BDA1-12C45D357490}">
          <x15:cacheHierarchy aggregatedColumn="3"/>
        </ext>
      </extLst>
    </cacheHierarchy>
  </cacheHierarchies>
  <kpis count="0"/>
  <dimensions count="3">
    <dimension name="Main_Data" uniqueName="[Main_Data]" caption="Main_Data"/>
    <dimension measure="1" name="Measures" uniqueName="[Measures]" caption="Measures"/>
    <dimension name="supply_chain_data" uniqueName="[supply_chain_data]" caption="supply_chain_data"/>
  </dimensions>
  <measureGroups count="2">
    <measureGroup name="Main_Data" caption="Main_Data"/>
    <measureGroup name="supply_chain_data" caption="supply_chain_dat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79.981031597221" createdVersion="8" refreshedVersion="8" minRefreshableVersion="3" recordCount="0" supportSubquery="1" supportAdvancedDrill="1" xr:uid="{6618141B-DE4D-49DF-B68F-7DC392B84CC2}">
  <cacheSource type="external" connectionId="3"/>
  <cacheFields count="3">
    <cacheField name="[Measures].[Count of SKU]" caption="Count of SKU" numFmtId="0" hierarchy="36" level="32767"/>
    <cacheField name="[Main_Data].[Restock Status].[Restock Status]" caption="Restock Status" numFmtId="0" hierarchy="15" level="1">
      <sharedItems containsSemiMixedTypes="0" containsNonDate="0" containsString="0"/>
    </cacheField>
    <cacheField name="[Main_Data].[Product Category].[Product Category]" caption="Product Category" numFmtId="0" hierarchy="1" level="1">
      <sharedItems containsSemiMixedTypes="0" containsNonDate="0" containsString="0"/>
    </cacheField>
  </cacheFields>
  <cacheHierarchies count="41">
    <cacheHierarchy uniqueName="[Main_Data].[SKU]" caption="SKU" attribute="1" defaultMemberUniqueName="[Main_Data].[SKU].[All]" allUniqueName="[Main_Data].[SKU].[All]" dimensionUniqueName="[Main_Data]" displayFolder="" count="0" memberValueDatatype="130" unbalanced="0"/>
    <cacheHierarchy uniqueName="[Main_Data].[Product Category]" caption="Product Category" attribute="1" defaultMemberUniqueName="[Main_Data].[Product Category].[All]" allUniqueName="[Main_Data].[Product Category].[All]" dimensionUniqueName="[Main_Data]" displayFolder="" count="2" memberValueDatatype="130" unbalanced="0">
      <fieldsUsage count="2">
        <fieldUsage x="-1"/>
        <fieldUsage x="2"/>
      </fieldsUsage>
    </cacheHierarchy>
    <cacheHierarchy uniqueName="[Main_Data].[Current Stock]" caption="Current Stock" attribute="1" defaultMemberUniqueName="[Main_Data].[Current Stock].[All]" allUniqueName="[Main_Data].[Current Stock].[All]" dimensionUniqueName="[Main_Data]" displayFolder="" count="0" memberValueDatatype="20" unbalanced="0"/>
    <cacheHierarchy uniqueName="[Main_Data].[Warehouse Location]" caption="Warehouse Location" attribute="1" defaultMemberUniqueName="[Main_Data].[Warehouse Location].[All]" allUniqueName="[Main_Data].[Warehouse Location].[All]" dimensionUniqueName="[Main_Data]" displayFolder="" count="2" memberValueDatatype="130" unbalanced="0"/>
    <cacheHierarchy uniqueName="[Main_Data].[Reorder Quantity]" caption="Reorder Quantity" attribute="1" defaultMemberUniqueName="[Main_Data].[Reorder Quantity].[All]" allUniqueName="[Main_Data].[Reorder Quantity].[All]" dimensionUniqueName="[Main_Data]" displayFolder="" count="0" memberValueDatatype="20" unbalanced="0"/>
    <cacheHierarchy uniqueName="[Main_Data].[Lead Time Days]" caption="Lead Time Days" attribute="1" defaultMemberUniqueName="[Main_Data].[Lead Time Days].[All]" allUniqueName="[Main_Data].[Lead Time Days].[All]" dimensionUniqueName="[Main_Data]" displayFolder="" count="0" memberValueDatatype="20" unbalanced="0"/>
    <cacheHierarchy uniqueName="[Main_Data].[Supplier]" caption="Supplier" attribute="1" defaultMemberUniqueName="[Main_Data].[Supplier].[All]" allUniqueName="[Main_Data].[Supplier].[All]" dimensionUniqueName="[Main_Data]" displayFolder="" count="2" memberValueDatatype="130" unbalanced="0"/>
    <cacheHierarchy uniqueName="[Main_Data].[Unit Cost]" caption="Unit Cost" attribute="1" defaultMemberUniqueName="[Main_Data].[Unit Cost].[All]" allUniqueName="[Main_Data].[Unit Cost].[All]" dimensionUniqueName="[Main_Data]" displayFolder="" count="0" memberValueDatatype="5" unbalanced="0"/>
    <cacheHierarchy uniqueName="[Main_Data].[Unit Selling Price]" caption="Unit Selling Price" attribute="1" defaultMemberUniqueName="[Main_Data].[Unit Selling Price].[All]" allUniqueName="[Main_Data].[Unit Selling Price].[All]" dimensionUniqueName="[Main_Data]" displayFolder="" count="0" memberValueDatatype="5" unbalanced="0"/>
    <cacheHierarchy uniqueName="[Main_Data].[Total Units Sold]" caption="Total Units Sold" attribute="1" defaultMemberUniqueName="[Main_Data].[Total Units Sold].[All]" allUniqueName="[Main_Data].[Total Units Sold].[All]" dimensionUniqueName="[Main_Data]" displayFolder="" count="0" memberValueDatatype="20" unbalanced="0"/>
    <cacheHierarchy uniqueName="[Main_Data].[Total Inventory Value]" caption="Total Inventory Value" attribute="1" defaultMemberUniqueName="[Main_Data].[Total Inventory Value].[All]" allUniqueName="[Main_Data].[Total Inventory Value].[All]" dimensionUniqueName="[Main_Data]" displayFolder="" count="0" memberValueDatatype="5" unbalanced="0"/>
    <cacheHierarchy uniqueName="[Main_Data].[Gross Profit Margin]" caption="Gross Profit Margin" attribute="1" defaultMemberUniqueName="[Main_Data].[Gross Profit Margin].[All]" allUniqueName="[Main_Data].[Gross Profit Margin].[All]" dimensionUniqueName="[Main_Data]" displayFolder="" count="0" memberValueDatatype="5" unbalanced="0"/>
    <cacheHierarchy uniqueName="[Main_Data].[Total Profit Generated]" caption="Total Profit Generated" attribute="1" defaultMemberUniqueName="[Main_Data].[Total Profit Generated].[All]" allUniqueName="[Main_Data].[Total Profit Generated].[All]" dimensionUniqueName="[Main_Data]" displayFolder="" count="0" memberValueDatatype="5" unbalanced="0"/>
    <cacheHierarchy uniqueName="[Main_Data].[Inventory Turnover Ratio]" caption="Inventory Turnover Ratio" attribute="1" defaultMemberUniqueName="[Main_Data].[Inventory Turnover Ratio].[All]" allUniqueName="[Main_Data].[Inventory Turnover Ratio].[All]" dimensionUniqueName="[Main_Data]" displayFolder="" count="0" memberValueDatatype="5" unbalanced="0"/>
    <cacheHierarchy uniqueName="[Main_Data].[Margin Check]" caption="Margin Check" attribute="1" defaultMemberUniqueName="[Main_Data].[Margin Check].[All]" allUniqueName="[Main_Data].[Margin Check].[All]" dimensionUniqueName="[Main_Data]" displayFolder="" count="0" memberValueDatatype="130" unbalanced="0"/>
    <cacheHierarchy uniqueName="[Main_Data].[Restock Status]" caption="Restock Status" attribute="1" defaultMemberUniqueName="[Main_Data].[Restock Status].[All]" allUniqueName="[Main_Data].[Restock Status].[All]" dimensionUniqueName="[Main_Data]" displayFolder="" count="2" memberValueDatatype="130" unbalanced="0">
      <fieldsUsage count="2">
        <fieldUsage x="-1"/>
        <fieldUsage x="1"/>
      </fieldsUsage>
    </cacheHierarchy>
    <cacheHierarchy uniqueName="[supply_chain_data].[SKU]" caption="SKU" attribute="1" defaultMemberUniqueName="[supply_chain_data].[SKU].[All]" allUniqueName="[supply_chain_data].[SKU].[All]" dimensionUniqueName="[supply_chain_data]" displayFolder="" count="0" memberValueDatatype="130" unbalanced="0"/>
    <cacheHierarchy uniqueName="[supply_chain_data].[Product Category]" caption="Product Category" attribute="1" defaultMemberUniqueName="[supply_chain_data].[Product Category].[All]" allUniqueName="[supply_chain_data].[Product Category].[All]" dimensionUniqueName="[supply_chain_data]" displayFolder="" count="0" memberValueDatatype="130" unbalanced="0"/>
    <cacheHierarchy uniqueName="[supply_chain_data].[Current Stock]" caption="Current Stock" attribute="1" defaultMemberUniqueName="[supply_chain_data].[Current Stock].[All]" allUniqueName="[supply_chain_data].[Current Stock].[All]" dimensionUniqueName="[supply_chain_data]" displayFolder="" count="0" memberValueDatatype="20" unbalanced="0"/>
    <cacheHierarchy uniqueName="[supply_chain_data].[Warehouse Location]" caption="Warehouse Location" attribute="1" defaultMemberUniqueName="[supply_chain_data].[Warehouse Location].[All]" allUniqueName="[supply_chain_data].[Warehouse Location].[All]" dimensionUniqueName="[supply_chain_data]" displayFolder="" count="0" memberValueDatatype="130" unbalanced="0"/>
    <cacheHierarchy uniqueName="[supply_chain_data].[Reorder Quantity]" caption="Reorder Quantity" attribute="1" defaultMemberUniqueName="[supply_chain_data].[Reorder Quantity].[All]" allUniqueName="[supply_chain_data].[Reorder Quantity].[All]" dimensionUniqueName="[supply_chain_data]" displayFolder="" count="0" memberValueDatatype="20" unbalanced="0"/>
    <cacheHierarchy uniqueName="[supply_chain_data].[Lead Time Days]" caption="Lead Time Days" attribute="1" defaultMemberUniqueName="[supply_chain_data].[Lead Time Days].[All]" allUniqueName="[supply_chain_data].[Lead Time Days].[All]" dimensionUniqueName="[supply_chain_data]" displayFolder="" count="0" memberValueDatatype="20" unbalanced="0"/>
    <cacheHierarchy uniqueName="[supply_chain_data].[Supplier]" caption="Supplier" attribute="1" defaultMemberUniqueName="[supply_chain_data].[Supplier].[All]" allUniqueName="[supply_chain_data].[Supplier].[All]" dimensionUniqueName="[supply_chain_data]" displayFolder="" count="0" memberValueDatatype="130" unbalanced="0"/>
    <cacheHierarchy uniqueName="[supply_chain_data].[Unit Cost]" caption="Unit Cost" attribute="1" defaultMemberUniqueName="[supply_chain_data].[Unit Cost].[All]" allUniqueName="[supply_chain_data].[Unit Cost].[All]" dimensionUniqueName="[supply_chain_data]" displayFolder="" count="0" memberValueDatatype="5" unbalanced="0"/>
    <cacheHierarchy uniqueName="[supply_chain_data].[Unit Selling Price]" caption="Unit Selling Price" attribute="1" defaultMemberUniqueName="[supply_chain_data].[Unit Selling Price].[All]" allUniqueName="[supply_chain_data].[Unit Selling Price].[All]" dimensionUniqueName="[supply_chain_data]" displayFolder="" count="0" memberValueDatatype="5" unbalanced="0"/>
    <cacheHierarchy uniqueName="[supply_chain_data].[Total Units Sold]" caption="Total Units Sold" attribute="1" defaultMemberUniqueName="[supply_chain_data].[Total Units Sold].[All]" allUniqueName="[supply_chain_data].[Total Units Sold].[All]" dimensionUniqueName="[supply_chain_data]" displayFolder="" count="0" memberValueDatatype="20" unbalanced="0"/>
    <cacheHierarchy uniqueName="[supply_chain_data].[Total Revenue]" caption="Total Revenue" attribute="1" defaultMemberUniqueName="[supply_chain_data].[Total Revenue].[All]" allUniqueName="[supply_chain_data].[Total Revenue].[All]" dimensionUniqueName="[supply_chain_data]" displayFolder="" count="0" memberValueDatatype="5" unbalanced="0"/>
    <cacheHierarchy uniqueName="[Measures].[__XL_Count supply_chain_data]" caption="__XL_Count supply_chain_data" measure="1" displayFolder="" measureGroup="supply_chain_data" count="0" hidden="1"/>
    <cacheHierarchy uniqueName="[Measures].[__XL_Count Main_Data]" caption="__XL_Count Main_Data" measure="1" displayFolder="" measureGroup="Main_Data" count="0" hidden="1"/>
    <cacheHierarchy uniqueName="[Measures].[__No measures defined]" caption="__No measures defined" measure="1" displayFolder="" count="0" hidden="1"/>
    <cacheHierarchy uniqueName="[Measures].[Sum of Total Inventory Value]" caption="Sum of Total Inventory Value" measure="1" displayFolder="" measureGroup="Main_Data" count="0" hidden="1">
      <extLst>
        <ext xmlns:x15="http://schemas.microsoft.com/office/spreadsheetml/2010/11/main" uri="{B97F6D7D-B522-45F9-BDA1-12C45D357490}">
          <x15:cacheHierarchy aggregatedColumn="10"/>
        </ext>
      </extLst>
    </cacheHierarchy>
    <cacheHierarchy uniqueName="[Measures].[Sum of Total Units Sold]" caption="Sum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Count of Total Units Sold]" caption="Count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Max of Total Units Sold]" caption="Max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Sum of Lead Time Days]" caption="Sum of Lead Time Days" measure="1" displayFolder="" measureGroup="Main_Data" count="0" hidden="1">
      <extLst>
        <ext xmlns:x15="http://schemas.microsoft.com/office/spreadsheetml/2010/11/main" uri="{B97F6D7D-B522-45F9-BDA1-12C45D357490}">
          <x15:cacheHierarchy aggregatedColumn="5"/>
        </ext>
      </extLst>
    </cacheHierarchy>
    <cacheHierarchy uniqueName="[Measures].[Average of Lead Time Days]" caption="Average of Lead Time Days" measure="1" displayFolder="" measureGroup="Main_Data" count="0" hidden="1">
      <extLst>
        <ext xmlns:x15="http://schemas.microsoft.com/office/spreadsheetml/2010/11/main" uri="{B97F6D7D-B522-45F9-BDA1-12C45D357490}">
          <x15:cacheHierarchy aggregatedColumn="5"/>
        </ext>
      </extLst>
    </cacheHierarchy>
    <cacheHierarchy uniqueName="[Measures].[Count of SKU]" caption="Count of SKU" measure="1" displayFolder="" measureGroup="Main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Current Stock]" caption="Sum of Current Stock" measure="1" displayFolder="" measureGroup="Main_Data" count="0" hidden="1">
      <extLst>
        <ext xmlns:x15="http://schemas.microsoft.com/office/spreadsheetml/2010/11/main" uri="{B97F6D7D-B522-45F9-BDA1-12C45D357490}">
          <x15:cacheHierarchy aggregatedColumn="2"/>
        </ext>
      </extLst>
    </cacheHierarchy>
    <cacheHierarchy uniqueName="[Measures].[Sum of Reorder Quantity]" caption="Sum of Reorder Quantity" measure="1" displayFolder="" measureGroup="Main_Data" count="0" hidden="1">
      <extLst>
        <ext xmlns:x15="http://schemas.microsoft.com/office/spreadsheetml/2010/11/main" uri="{B97F6D7D-B522-45F9-BDA1-12C45D357490}">
          <x15:cacheHierarchy aggregatedColumn="4"/>
        </ext>
      </extLst>
    </cacheHierarchy>
    <cacheHierarchy uniqueName="[Measures].[Count of Restock Status]" caption="Count of Restock Status" measure="1" displayFolder="" measureGroup="Main_Data" count="0" hidden="1">
      <extLst>
        <ext xmlns:x15="http://schemas.microsoft.com/office/spreadsheetml/2010/11/main" uri="{B97F6D7D-B522-45F9-BDA1-12C45D357490}">
          <x15:cacheHierarchy aggregatedColumn="15"/>
        </ext>
      </extLst>
    </cacheHierarchy>
    <cacheHierarchy uniqueName="[Measures].[Count of Warehouse Location]" caption="Count of Warehouse Location" measure="1" displayFolder="" measureGroup="Main_Data" count="0" hidden="1">
      <extLst>
        <ext xmlns:x15="http://schemas.microsoft.com/office/spreadsheetml/2010/11/main" uri="{B97F6D7D-B522-45F9-BDA1-12C45D357490}">
          <x15:cacheHierarchy aggregatedColumn="3"/>
        </ext>
      </extLst>
    </cacheHierarchy>
  </cacheHierarchies>
  <kpis count="0"/>
  <dimensions count="3">
    <dimension name="Main_Data" uniqueName="[Main_Data]" caption="Main_Data"/>
    <dimension measure="1" name="Measures" uniqueName="[Measures]" caption="Measures"/>
    <dimension name="supply_chain_data" uniqueName="[supply_chain_data]" caption="supply_chain_data"/>
  </dimensions>
  <measureGroups count="2">
    <measureGroup name="Main_Data" caption="Main_Data"/>
    <measureGroup name="supply_chain_data" caption="supply_chain_dat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79.98103171296" createdVersion="8" refreshedVersion="8" minRefreshableVersion="3" recordCount="0" supportSubquery="1" supportAdvancedDrill="1" xr:uid="{19566F86-2FF1-4D28-B4FF-ED6B9709EE92}">
  <cacheSource type="external" connectionId="3"/>
  <cacheFields count="3">
    <cacheField name="[Measures].[Sum of Current Stock]" caption="Sum of Current Stock" numFmtId="0" hierarchy="37" level="32767"/>
    <cacheField name="[Main_Data].[Restock Status].[Restock Status]" caption="Restock Status" numFmtId="0" hierarchy="15" level="1">
      <sharedItems containsSemiMixedTypes="0" containsNonDate="0" containsString="0"/>
    </cacheField>
    <cacheField name="[Main_Data].[Product Category].[Product Category]" caption="Product Category" numFmtId="0" hierarchy="1" level="1">
      <sharedItems containsSemiMixedTypes="0" containsNonDate="0" containsString="0"/>
    </cacheField>
  </cacheFields>
  <cacheHierarchies count="41">
    <cacheHierarchy uniqueName="[Main_Data].[SKU]" caption="SKU" attribute="1" defaultMemberUniqueName="[Main_Data].[SKU].[All]" allUniqueName="[Main_Data].[SKU].[All]" dimensionUniqueName="[Main_Data]" displayFolder="" count="0" memberValueDatatype="130" unbalanced="0"/>
    <cacheHierarchy uniqueName="[Main_Data].[Product Category]" caption="Product Category" attribute="1" defaultMemberUniqueName="[Main_Data].[Product Category].[All]" allUniqueName="[Main_Data].[Product Category].[All]" dimensionUniqueName="[Main_Data]" displayFolder="" count="2" memberValueDatatype="130" unbalanced="0">
      <fieldsUsage count="2">
        <fieldUsage x="-1"/>
        <fieldUsage x="2"/>
      </fieldsUsage>
    </cacheHierarchy>
    <cacheHierarchy uniqueName="[Main_Data].[Current Stock]" caption="Current Stock" attribute="1" defaultMemberUniqueName="[Main_Data].[Current Stock].[All]" allUniqueName="[Main_Data].[Current Stock].[All]" dimensionUniqueName="[Main_Data]" displayFolder="" count="0" memberValueDatatype="20" unbalanced="0"/>
    <cacheHierarchy uniqueName="[Main_Data].[Warehouse Location]" caption="Warehouse Location" attribute="1" defaultMemberUniqueName="[Main_Data].[Warehouse Location].[All]" allUniqueName="[Main_Data].[Warehouse Location].[All]" dimensionUniqueName="[Main_Data]" displayFolder="" count="2" memberValueDatatype="130" unbalanced="0"/>
    <cacheHierarchy uniqueName="[Main_Data].[Reorder Quantity]" caption="Reorder Quantity" attribute="1" defaultMemberUniqueName="[Main_Data].[Reorder Quantity].[All]" allUniqueName="[Main_Data].[Reorder Quantity].[All]" dimensionUniqueName="[Main_Data]" displayFolder="" count="0" memberValueDatatype="20" unbalanced="0"/>
    <cacheHierarchy uniqueName="[Main_Data].[Lead Time Days]" caption="Lead Time Days" attribute="1" defaultMemberUniqueName="[Main_Data].[Lead Time Days].[All]" allUniqueName="[Main_Data].[Lead Time Days].[All]" dimensionUniqueName="[Main_Data]" displayFolder="" count="0" memberValueDatatype="20" unbalanced="0"/>
    <cacheHierarchy uniqueName="[Main_Data].[Supplier]" caption="Supplier" attribute="1" defaultMemberUniqueName="[Main_Data].[Supplier].[All]" allUniqueName="[Main_Data].[Supplier].[All]" dimensionUniqueName="[Main_Data]" displayFolder="" count="2" memberValueDatatype="130" unbalanced="0"/>
    <cacheHierarchy uniqueName="[Main_Data].[Unit Cost]" caption="Unit Cost" attribute="1" defaultMemberUniqueName="[Main_Data].[Unit Cost].[All]" allUniqueName="[Main_Data].[Unit Cost].[All]" dimensionUniqueName="[Main_Data]" displayFolder="" count="0" memberValueDatatype="5" unbalanced="0"/>
    <cacheHierarchy uniqueName="[Main_Data].[Unit Selling Price]" caption="Unit Selling Price" attribute="1" defaultMemberUniqueName="[Main_Data].[Unit Selling Price].[All]" allUniqueName="[Main_Data].[Unit Selling Price].[All]" dimensionUniqueName="[Main_Data]" displayFolder="" count="0" memberValueDatatype="5" unbalanced="0"/>
    <cacheHierarchy uniqueName="[Main_Data].[Total Units Sold]" caption="Total Units Sold" attribute="1" defaultMemberUniqueName="[Main_Data].[Total Units Sold].[All]" allUniqueName="[Main_Data].[Total Units Sold].[All]" dimensionUniqueName="[Main_Data]" displayFolder="" count="0" memberValueDatatype="20" unbalanced="0"/>
    <cacheHierarchy uniqueName="[Main_Data].[Total Inventory Value]" caption="Total Inventory Value" attribute="1" defaultMemberUniqueName="[Main_Data].[Total Inventory Value].[All]" allUniqueName="[Main_Data].[Total Inventory Value].[All]" dimensionUniqueName="[Main_Data]" displayFolder="" count="0" memberValueDatatype="5" unbalanced="0"/>
    <cacheHierarchy uniqueName="[Main_Data].[Gross Profit Margin]" caption="Gross Profit Margin" attribute="1" defaultMemberUniqueName="[Main_Data].[Gross Profit Margin].[All]" allUniqueName="[Main_Data].[Gross Profit Margin].[All]" dimensionUniqueName="[Main_Data]" displayFolder="" count="0" memberValueDatatype="5" unbalanced="0"/>
    <cacheHierarchy uniqueName="[Main_Data].[Total Profit Generated]" caption="Total Profit Generated" attribute="1" defaultMemberUniqueName="[Main_Data].[Total Profit Generated].[All]" allUniqueName="[Main_Data].[Total Profit Generated].[All]" dimensionUniqueName="[Main_Data]" displayFolder="" count="0" memberValueDatatype="5" unbalanced="0"/>
    <cacheHierarchy uniqueName="[Main_Data].[Inventory Turnover Ratio]" caption="Inventory Turnover Ratio" attribute="1" defaultMemberUniqueName="[Main_Data].[Inventory Turnover Ratio].[All]" allUniqueName="[Main_Data].[Inventory Turnover Ratio].[All]" dimensionUniqueName="[Main_Data]" displayFolder="" count="0" memberValueDatatype="5" unbalanced="0"/>
    <cacheHierarchy uniqueName="[Main_Data].[Margin Check]" caption="Margin Check" attribute="1" defaultMemberUniqueName="[Main_Data].[Margin Check].[All]" allUniqueName="[Main_Data].[Margin Check].[All]" dimensionUniqueName="[Main_Data]" displayFolder="" count="0" memberValueDatatype="130" unbalanced="0"/>
    <cacheHierarchy uniqueName="[Main_Data].[Restock Status]" caption="Restock Status" attribute="1" defaultMemberUniqueName="[Main_Data].[Restock Status].[All]" allUniqueName="[Main_Data].[Restock Status].[All]" dimensionUniqueName="[Main_Data]" displayFolder="" count="2" memberValueDatatype="130" unbalanced="0">
      <fieldsUsage count="2">
        <fieldUsage x="-1"/>
        <fieldUsage x="1"/>
      </fieldsUsage>
    </cacheHierarchy>
    <cacheHierarchy uniqueName="[supply_chain_data].[SKU]" caption="SKU" attribute="1" defaultMemberUniqueName="[supply_chain_data].[SKU].[All]" allUniqueName="[supply_chain_data].[SKU].[All]" dimensionUniqueName="[supply_chain_data]" displayFolder="" count="0" memberValueDatatype="130" unbalanced="0"/>
    <cacheHierarchy uniqueName="[supply_chain_data].[Product Category]" caption="Product Category" attribute="1" defaultMemberUniqueName="[supply_chain_data].[Product Category].[All]" allUniqueName="[supply_chain_data].[Product Category].[All]" dimensionUniqueName="[supply_chain_data]" displayFolder="" count="0" memberValueDatatype="130" unbalanced="0"/>
    <cacheHierarchy uniqueName="[supply_chain_data].[Current Stock]" caption="Current Stock" attribute="1" defaultMemberUniqueName="[supply_chain_data].[Current Stock].[All]" allUniqueName="[supply_chain_data].[Current Stock].[All]" dimensionUniqueName="[supply_chain_data]" displayFolder="" count="0" memberValueDatatype="20" unbalanced="0"/>
    <cacheHierarchy uniqueName="[supply_chain_data].[Warehouse Location]" caption="Warehouse Location" attribute="1" defaultMemberUniqueName="[supply_chain_data].[Warehouse Location].[All]" allUniqueName="[supply_chain_data].[Warehouse Location].[All]" dimensionUniqueName="[supply_chain_data]" displayFolder="" count="0" memberValueDatatype="130" unbalanced="0"/>
    <cacheHierarchy uniqueName="[supply_chain_data].[Reorder Quantity]" caption="Reorder Quantity" attribute="1" defaultMemberUniqueName="[supply_chain_data].[Reorder Quantity].[All]" allUniqueName="[supply_chain_data].[Reorder Quantity].[All]" dimensionUniqueName="[supply_chain_data]" displayFolder="" count="0" memberValueDatatype="20" unbalanced="0"/>
    <cacheHierarchy uniqueName="[supply_chain_data].[Lead Time Days]" caption="Lead Time Days" attribute="1" defaultMemberUniqueName="[supply_chain_data].[Lead Time Days].[All]" allUniqueName="[supply_chain_data].[Lead Time Days].[All]" dimensionUniqueName="[supply_chain_data]" displayFolder="" count="0" memberValueDatatype="20" unbalanced="0"/>
    <cacheHierarchy uniqueName="[supply_chain_data].[Supplier]" caption="Supplier" attribute="1" defaultMemberUniqueName="[supply_chain_data].[Supplier].[All]" allUniqueName="[supply_chain_data].[Supplier].[All]" dimensionUniqueName="[supply_chain_data]" displayFolder="" count="0" memberValueDatatype="130" unbalanced="0"/>
    <cacheHierarchy uniqueName="[supply_chain_data].[Unit Cost]" caption="Unit Cost" attribute="1" defaultMemberUniqueName="[supply_chain_data].[Unit Cost].[All]" allUniqueName="[supply_chain_data].[Unit Cost].[All]" dimensionUniqueName="[supply_chain_data]" displayFolder="" count="0" memberValueDatatype="5" unbalanced="0"/>
    <cacheHierarchy uniqueName="[supply_chain_data].[Unit Selling Price]" caption="Unit Selling Price" attribute="1" defaultMemberUniqueName="[supply_chain_data].[Unit Selling Price].[All]" allUniqueName="[supply_chain_data].[Unit Selling Price].[All]" dimensionUniqueName="[supply_chain_data]" displayFolder="" count="0" memberValueDatatype="5" unbalanced="0"/>
    <cacheHierarchy uniqueName="[supply_chain_data].[Total Units Sold]" caption="Total Units Sold" attribute="1" defaultMemberUniqueName="[supply_chain_data].[Total Units Sold].[All]" allUniqueName="[supply_chain_data].[Total Units Sold].[All]" dimensionUniqueName="[supply_chain_data]" displayFolder="" count="0" memberValueDatatype="20" unbalanced="0"/>
    <cacheHierarchy uniqueName="[supply_chain_data].[Total Revenue]" caption="Total Revenue" attribute="1" defaultMemberUniqueName="[supply_chain_data].[Total Revenue].[All]" allUniqueName="[supply_chain_data].[Total Revenue].[All]" dimensionUniqueName="[supply_chain_data]" displayFolder="" count="0" memberValueDatatype="5" unbalanced="0"/>
    <cacheHierarchy uniqueName="[Measures].[__XL_Count supply_chain_data]" caption="__XL_Count supply_chain_data" measure="1" displayFolder="" measureGroup="supply_chain_data" count="0" hidden="1"/>
    <cacheHierarchy uniqueName="[Measures].[__XL_Count Main_Data]" caption="__XL_Count Main_Data" measure="1" displayFolder="" measureGroup="Main_Data" count="0" hidden="1"/>
    <cacheHierarchy uniqueName="[Measures].[__No measures defined]" caption="__No measures defined" measure="1" displayFolder="" count="0" hidden="1"/>
    <cacheHierarchy uniqueName="[Measures].[Sum of Total Inventory Value]" caption="Sum of Total Inventory Value" measure="1" displayFolder="" measureGroup="Main_Data" count="0" hidden="1">
      <extLst>
        <ext xmlns:x15="http://schemas.microsoft.com/office/spreadsheetml/2010/11/main" uri="{B97F6D7D-B522-45F9-BDA1-12C45D357490}">
          <x15:cacheHierarchy aggregatedColumn="10"/>
        </ext>
      </extLst>
    </cacheHierarchy>
    <cacheHierarchy uniqueName="[Measures].[Sum of Total Units Sold]" caption="Sum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Count of Total Units Sold]" caption="Count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Max of Total Units Sold]" caption="Max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Sum of Lead Time Days]" caption="Sum of Lead Time Days" measure="1" displayFolder="" measureGroup="Main_Data" count="0" hidden="1">
      <extLst>
        <ext xmlns:x15="http://schemas.microsoft.com/office/spreadsheetml/2010/11/main" uri="{B97F6D7D-B522-45F9-BDA1-12C45D357490}">
          <x15:cacheHierarchy aggregatedColumn="5"/>
        </ext>
      </extLst>
    </cacheHierarchy>
    <cacheHierarchy uniqueName="[Measures].[Average of Lead Time Days]" caption="Average of Lead Time Days" measure="1" displayFolder="" measureGroup="Main_Data" count="0" hidden="1">
      <extLst>
        <ext xmlns:x15="http://schemas.microsoft.com/office/spreadsheetml/2010/11/main" uri="{B97F6D7D-B522-45F9-BDA1-12C45D357490}">
          <x15:cacheHierarchy aggregatedColumn="5"/>
        </ext>
      </extLst>
    </cacheHierarchy>
    <cacheHierarchy uniqueName="[Measures].[Count of SKU]" caption="Count of SKU" measure="1" displayFolder="" measureGroup="Main_Data" count="0" hidden="1">
      <extLst>
        <ext xmlns:x15="http://schemas.microsoft.com/office/spreadsheetml/2010/11/main" uri="{B97F6D7D-B522-45F9-BDA1-12C45D357490}">
          <x15:cacheHierarchy aggregatedColumn="0"/>
        </ext>
      </extLst>
    </cacheHierarchy>
    <cacheHierarchy uniqueName="[Measures].[Sum of Current Stock]" caption="Sum of Current Stock" measure="1" displayFolder="" measureGroup="Main_Data"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Reorder Quantity]" caption="Sum of Reorder Quantity" measure="1" displayFolder="" measureGroup="Main_Data" count="0" hidden="1">
      <extLst>
        <ext xmlns:x15="http://schemas.microsoft.com/office/spreadsheetml/2010/11/main" uri="{B97F6D7D-B522-45F9-BDA1-12C45D357490}">
          <x15:cacheHierarchy aggregatedColumn="4"/>
        </ext>
      </extLst>
    </cacheHierarchy>
    <cacheHierarchy uniqueName="[Measures].[Count of Restock Status]" caption="Count of Restock Status" measure="1" displayFolder="" measureGroup="Main_Data" count="0" hidden="1">
      <extLst>
        <ext xmlns:x15="http://schemas.microsoft.com/office/spreadsheetml/2010/11/main" uri="{B97F6D7D-B522-45F9-BDA1-12C45D357490}">
          <x15:cacheHierarchy aggregatedColumn="15"/>
        </ext>
      </extLst>
    </cacheHierarchy>
    <cacheHierarchy uniqueName="[Measures].[Count of Warehouse Location]" caption="Count of Warehouse Location" measure="1" displayFolder="" measureGroup="Main_Data" count="0" hidden="1">
      <extLst>
        <ext xmlns:x15="http://schemas.microsoft.com/office/spreadsheetml/2010/11/main" uri="{B97F6D7D-B522-45F9-BDA1-12C45D357490}">
          <x15:cacheHierarchy aggregatedColumn="3"/>
        </ext>
      </extLst>
    </cacheHierarchy>
  </cacheHierarchies>
  <kpis count="0"/>
  <dimensions count="3">
    <dimension name="Main_Data" uniqueName="[Main_Data]" caption="Main_Data"/>
    <dimension measure="1" name="Measures" uniqueName="[Measures]" caption="Measures"/>
    <dimension name="supply_chain_data" uniqueName="[supply_chain_data]" caption="supply_chain_data"/>
  </dimensions>
  <measureGroups count="2">
    <measureGroup name="Main_Data" caption="Main_Data"/>
    <measureGroup name="supply_chain_data" caption="supply_chain_dat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79.981031828705" createdVersion="8" refreshedVersion="8" minRefreshableVersion="3" recordCount="0" supportSubquery="1" supportAdvancedDrill="1" xr:uid="{945D1BDB-7D7E-433B-81D3-875963A8094B}">
  <cacheSource type="external" connectionId="3"/>
  <cacheFields count="3">
    <cacheField name="[Main_Data].[Restock Status].[Restock Status]" caption="Restock Status" numFmtId="0" hierarchy="15" level="1">
      <sharedItems containsSemiMixedTypes="0" containsNonDate="0" containsString="0"/>
    </cacheField>
    <cacheField name="[Measures].[Count of Restock Status]" caption="Count of Restock Status" numFmtId="0" hierarchy="39" level="32767"/>
    <cacheField name="[Main_Data].[Product Category].[Product Category]" caption="Product Category" numFmtId="0" hierarchy="1" level="1">
      <sharedItems containsSemiMixedTypes="0" containsNonDate="0" containsString="0"/>
    </cacheField>
  </cacheFields>
  <cacheHierarchies count="41">
    <cacheHierarchy uniqueName="[Main_Data].[SKU]" caption="SKU" attribute="1" defaultMemberUniqueName="[Main_Data].[SKU].[All]" allUniqueName="[Main_Data].[SKU].[All]" dimensionUniqueName="[Main_Data]" displayFolder="" count="0" memberValueDatatype="130" unbalanced="0"/>
    <cacheHierarchy uniqueName="[Main_Data].[Product Category]" caption="Product Category" attribute="1" defaultMemberUniqueName="[Main_Data].[Product Category].[All]" allUniqueName="[Main_Data].[Product Category].[All]" dimensionUniqueName="[Main_Data]" displayFolder="" count="2" memberValueDatatype="130" unbalanced="0">
      <fieldsUsage count="2">
        <fieldUsage x="-1"/>
        <fieldUsage x="2"/>
      </fieldsUsage>
    </cacheHierarchy>
    <cacheHierarchy uniqueName="[Main_Data].[Current Stock]" caption="Current Stock" attribute="1" defaultMemberUniqueName="[Main_Data].[Current Stock].[All]" allUniqueName="[Main_Data].[Current Stock].[All]" dimensionUniqueName="[Main_Data]" displayFolder="" count="0" memberValueDatatype="20" unbalanced="0"/>
    <cacheHierarchy uniqueName="[Main_Data].[Warehouse Location]" caption="Warehouse Location" attribute="1" defaultMemberUniqueName="[Main_Data].[Warehouse Location].[All]" allUniqueName="[Main_Data].[Warehouse Location].[All]" dimensionUniqueName="[Main_Data]" displayFolder="" count="2" memberValueDatatype="130" unbalanced="0"/>
    <cacheHierarchy uniqueName="[Main_Data].[Reorder Quantity]" caption="Reorder Quantity" attribute="1" defaultMemberUniqueName="[Main_Data].[Reorder Quantity].[All]" allUniqueName="[Main_Data].[Reorder Quantity].[All]" dimensionUniqueName="[Main_Data]" displayFolder="" count="0" memberValueDatatype="20" unbalanced="0"/>
    <cacheHierarchy uniqueName="[Main_Data].[Lead Time Days]" caption="Lead Time Days" attribute="1" defaultMemberUniqueName="[Main_Data].[Lead Time Days].[All]" allUniqueName="[Main_Data].[Lead Time Days].[All]" dimensionUniqueName="[Main_Data]" displayFolder="" count="0" memberValueDatatype="20" unbalanced="0"/>
    <cacheHierarchy uniqueName="[Main_Data].[Supplier]" caption="Supplier" attribute="1" defaultMemberUniqueName="[Main_Data].[Supplier].[All]" allUniqueName="[Main_Data].[Supplier].[All]" dimensionUniqueName="[Main_Data]" displayFolder="" count="2" memberValueDatatype="130" unbalanced="0"/>
    <cacheHierarchy uniqueName="[Main_Data].[Unit Cost]" caption="Unit Cost" attribute="1" defaultMemberUniqueName="[Main_Data].[Unit Cost].[All]" allUniqueName="[Main_Data].[Unit Cost].[All]" dimensionUniqueName="[Main_Data]" displayFolder="" count="0" memberValueDatatype="5" unbalanced="0"/>
    <cacheHierarchy uniqueName="[Main_Data].[Unit Selling Price]" caption="Unit Selling Price" attribute="1" defaultMemberUniqueName="[Main_Data].[Unit Selling Price].[All]" allUniqueName="[Main_Data].[Unit Selling Price].[All]" dimensionUniqueName="[Main_Data]" displayFolder="" count="0" memberValueDatatype="5" unbalanced="0"/>
    <cacheHierarchy uniqueName="[Main_Data].[Total Units Sold]" caption="Total Units Sold" attribute="1" defaultMemberUniqueName="[Main_Data].[Total Units Sold].[All]" allUniqueName="[Main_Data].[Total Units Sold].[All]" dimensionUniqueName="[Main_Data]" displayFolder="" count="0" memberValueDatatype="20" unbalanced="0"/>
    <cacheHierarchy uniqueName="[Main_Data].[Total Inventory Value]" caption="Total Inventory Value" attribute="1" defaultMemberUniqueName="[Main_Data].[Total Inventory Value].[All]" allUniqueName="[Main_Data].[Total Inventory Value].[All]" dimensionUniqueName="[Main_Data]" displayFolder="" count="0" memberValueDatatype="5" unbalanced="0"/>
    <cacheHierarchy uniqueName="[Main_Data].[Gross Profit Margin]" caption="Gross Profit Margin" attribute="1" defaultMemberUniqueName="[Main_Data].[Gross Profit Margin].[All]" allUniqueName="[Main_Data].[Gross Profit Margin].[All]" dimensionUniqueName="[Main_Data]" displayFolder="" count="0" memberValueDatatype="5" unbalanced="0"/>
    <cacheHierarchy uniqueName="[Main_Data].[Total Profit Generated]" caption="Total Profit Generated" attribute="1" defaultMemberUniqueName="[Main_Data].[Total Profit Generated].[All]" allUniqueName="[Main_Data].[Total Profit Generated].[All]" dimensionUniqueName="[Main_Data]" displayFolder="" count="0" memberValueDatatype="5" unbalanced="0"/>
    <cacheHierarchy uniqueName="[Main_Data].[Inventory Turnover Ratio]" caption="Inventory Turnover Ratio" attribute="1" defaultMemberUniqueName="[Main_Data].[Inventory Turnover Ratio].[All]" allUniqueName="[Main_Data].[Inventory Turnover Ratio].[All]" dimensionUniqueName="[Main_Data]" displayFolder="" count="0" memberValueDatatype="5" unbalanced="0"/>
    <cacheHierarchy uniqueName="[Main_Data].[Margin Check]" caption="Margin Check" attribute="1" defaultMemberUniqueName="[Main_Data].[Margin Check].[All]" allUniqueName="[Main_Data].[Margin Check].[All]" dimensionUniqueName="[Main_Data]" displayFolder="" count="0" memberValueDatatype="130" unbalanced="0"/>
    <cacheHierarchy uniqueName="[Main_Data].[Restock Status]" caption="Restock Status" attribute="1" defaultMemberUniqueName="[Main_Data].[Restock Status].[All]" allUniqueName="[Main_Data].[Restock Status].[All]" dimensionUniqueName="[Main_Data]" displayFolder="" count="2" memberValueDatatype="130" unbalanced="0">
      <fieldsUsage count="2">
        <fieldUsage x="-1"/>
        <fieldUsage x="0"/>
      </fieldsUsage>
    </cacheHierarchy>
    <cacheHierarchy uniqueName="[supply_chain_data].[SKU]" caption="SKU" attribute="1" defaultMemberUniqueName="[supply_chain_data].[SKU].[All]" allUniqueName="[supply_chain_data].[SKU].[All]" dimensionUniqueName="[supply_chain_data]" displayFolder="" count="0" memberValueDatatype="130" unbalanced="0"/>
    <cacheHierarchy uniqueName="[supply_chain_data].[Product Category]" caption="Product Category" attribute="1" defaultMemberUniqueName="[supply_chain_data].[Product Category].[All]" allUniqueName="[supply_chain_data].[Product Category].[All]" dimensionUniqueName="[supply_chain_data]" displayFolder="" count="0" memberValueDatatype="130" unbalanced="0"/>
    <cacheHierarchy uniqueName="[supply_chain_data].[Current Stock]" caption="Current Stock" attribute="1" defaultMemberUniqueName="[supply_chain_data].[Current Stock].[All]" allUniqueName="[supply_chain_data].[Current Stock].[All]" dimensionUniqueName="[supply_chain_data]" displayFolder="" count="0" memberValueDatatype="20" unbalanced="0"/>
    <cacheHierarchy uniqueName="[supply_chain_data].[Warehouse Location]" caption="Warehouse Location" attribute="1" defaultMemberUniqueName="[supply_chain_data].[Warehouse Location].[All]" allUniqueName="[supply_chain_data].[Warehouse Location].[All]" dimensionUniqueName="[supply_chain_data]" displayFolder="" count="0" memberValueDatatype="130" unbalanced="0"/>
    <cacheHierarchy uniqueName="[supply_chain_data].[Reorder Quantity]" caption="Reorder Quantity" attribute="1" defaultMemberUniqueName="[supply_chain_data].[Reorder Quantity].[All]" allUniqueName="[supply_chain_data].[Reorder Quantity].[All]" dimensionUniqueName="[supply_chain_data]" displayFolder="" count="0" memberValueDatatype="20" unbalanced="0"/>
    <cacheHierarchy uniqueName="[supply_chain_data].[Lead Time Days]" caption="Lead Time Days" attribute="1" defaultMemberUniqueName="[supply_chain_data].[Lead Time Days].[All]" allUniqueName="[supply_chain_data].[Lead Time Days].[All]" dimensionUniqueName="[supply_chain_data]" displayFolder="" count="0" memberValueDatatype="20" unbalanced="0"/>
    <cacheHierarchy uniqueName="[supply_chain_data].[Supplier]" caption="Supplier" attribute="1" defaultMemberUniqueName="[supply_chain_data].[Supplier].[All]" allUniqueName="[supply_chain_data].[Supplier].[All]" dimensionUniqueName="[supply_chain_data]" displayFolder="" count="0" memberValueDatatype="130" unbalanced="0"/>
    <cacheHierarchy uniqueName="[supply_chain_data].[Unit Cost]" caption="Unit Cost" attribute="1" defaultMemberUniqueName="[supply_chain_data].[Unit Cost].[All]" allUniqueName="[supply_chain_data].[Unit Cost].[All]" dimensionUniqueName="[supply_chain_data]" displayFolder="" count="0" memberValueDatatype="5" unbalanced="0"/>
    <cacheHierarchy uniqueName="[supply_chain_data].[Unit Selling Price]" caption="Unit Selling Price" attribute="1" defaultMemberUniqueName="[supply_chain_data].[Unit Selling Price].[All]" allUniqueName="[supply_chain_data].[Unit Selling Price].[All]" dimensionUniqueName="[supply_chain_data]" displayFolder="" count="0" memberValueDatatype="5" unbalanced="0"/>
    <cacheHierarchy uniqueName="[supply_chain_data].[Total Units Sold]" caption="Total Units Sold" attribute="1" defaultMemberUniqueName="[supply_chain_data].[Total Units Sold].[All]" allUniqueName="[supply_chain_data].[Total Units Sold].[All]" dimensionUniqueName="[supply_chain_data]" displayFolder="" count="0" memberValueDatatype="20" unbalanced="0"/>
    <cacheHierarchy uniqueName="[supply_chain_data].[Total Revenue]" caption="Total Revenue" attribute="1" defaultMemberUniqueName="[supply_chain_data].[Total Revenue].[All]" allUniqueName="[supply_chain_data].[Total Revenue].[All]" dimensionUniqueName="[supply_chain_data]" displayFolder="" count="0" memberValueDatatype="5" unbalanced="0"/>
    <cacheHierarchy uniqueName="[Measures].[__XL_Count supply_chain_data]" caption="__XL_Count supply_chain_data" measure="1" displayFolder="" measureGroup="supply_chain_data" count="0" hidden="1"/>
    <cacheHierarchy uniqueName="[Measures].[__XL_Count Main_Data]" caption="__XL_Count Main_Data" measure="1" displayFolder="" measureGroup="Main_Data" count="0" hidden="1"/>
    <cacheHierarchy uniqueName="[Measures].[__No measures defined]" caption="__No measures defined" measure="1" displayFolder="" count="0" hidden="1"/>
    <cacheHierarchy uniqueName="[Measures].[Sum of Total Inventory Value]" caption="Sum of Total Inventory Value" measure="1" displayFolder="" measureGroup="Main_Data" count="0" hidden="1">
      <extLst>
        <ext xmlns:x15="http://schemas.microsoft.com/office/spreadsheetml/2010/11/main" uri="{B97F6D7D-B522-45F9-BDA1-12C45D357490}">
          <x15:cacheHierarchy aggregatedColumn="10"/>
        </ext>
      </extLst>
    </cacheHierarchy>
    <cacheHierarchy uniqueName="[Measures].[Sum of Total Units Sold]" caption="Sum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Count of Total Units Sold]" caption="Count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Max of Total Units Sold]" caption="Max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Sum of Lead Time Days]" caption="Sum of Lead Time Days" measure="1" displayFolder="" measureGroup="Main_Data" count="0" hidden="1">
      <extLst>
        <ext xmlns:x15="http://schemas.microsoft.com/office/spreadsheetml/2010/11/main" uri="{B97F6D7D-B522-45F9-BDA1-12C45D357490}">
          <x15:cacheHierarchy aggregatedColumn="5"/>
        </ext>
      </extLst>
    </cacheHierarchy>
    <cacheHierarchy uniqueName="[Measures].[Average of Lead Time Days]" caption="Average of Lead Time Days" measure="1" displayFolder="" measureGroup="Main_Data" count="0" hidden="1">
      <extLst>
        <ext xmlns:x15="http://schemas.microsoft.com/office/spreadsheetml/2010/11/main" uri="{B97F6D7D-B522-45F9-BDA1-12C45D357490}">
          <x15:cacheHierarchy aggregatedColumn="5"/>
        </ext>
      </extLst>
    </cacheHierarchy>
    <cacheHierarchy uniqueName="[Measures].[Count of SKU]" caption="Count of SKU" measure="1" displayFolder="" measureGroup="Main_Data" count="0" hidden="1">
      <extLst>
        <ext xmlns:x15="http://schemas.microsoft.com/office/spreadsheetml/2010/11/main" uri="{B97F6D7D-B522-45F9-BDA1-12C45D357490}">
          <x15:cacheHierarchy aggregatedColumn="0"/>
        </ext>
      </extLst>
    </cacheHierarchy>
    <cacheHierarchy uniqueName="[Measures].[Sum of Current Stock]" caption="Sum of Current Stock" measure="1" displayFolder="" measureGroup="Main_Data" count="0" hidden="1">
      <extLst>
        <ext xmlns:x15="http://schemas.microsoft.com/office/spreadsheetml/2010/11/main" uri="{B97F6D7D-B522-45F9-BDA1-12C45D357490}">
          <x15:cacheHierarchy aggregatedColumn="2"/>
        </ext>
      </extLst>
    </cacheHierarchy>
    <cacheHierarchy uniqueName="[Measures].[Sum of Reorder Quantity]" caption="Sum of Reorder Quantity" measure="1" displayFolder="" measureGroup="Main_Data" count="0" hidden="1">
      <extLst>
        <ext xmlns:x15="http://schemas.microsoft.com/office/spreadsheetml/2010/11/main" uri="{B97F6D7D-B522-45F9-BDA1-12C45D357490}">
          <x15:cacheHierarchy aggregatedColumn="4"/>
        </ext>
      </extLst>
    </cacheHierarchy>
    <cacheHierarchy uniqueName="[Measures].[Count of Restock Status]" caption="Count of Restock Status" measure="1" displayFolder="" measureGroup="Main_Data"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Warehouse Location]" caption="Count of Warehouse Location" measure="1" displayFolder="" measureGroup="Main_Data" count="0" hidden="1">
      <extLst>
        <ext xmlns:x15="http://schemas.microsoft.com/office/spreadsheetml/2010/11/main" uri="{B97F6D7D-B522-45F9-BDA1-12C45D357490}">
          <x15:cacheHierarchy aggregatedColumn="3"/>
        </ext>
      </extLst>
    </cacheHierarchy>
  </cacheHierarchies>
  <kpis count="0"/>
  <dimensions count="3">
    <dimension name="Main_Data" uniqueName="[Main_Data]" caption="Main_Data"/>
    <dimension measure="1" name="Measures" uniqueName="[Measures]" caption="Measures"/>
    <dimension name="supply_chain_data" uniqueName="[supply_chain_data]" caption="supply_chain_data"/>
  </dimensions>
  <measureGroups count="2">
    <measureGroup name="Main_Data" caption="Main_Data"/>
    <measureGroup name="supply_chain_data" caption="supply_chain_dat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ESH MANDI" refreshedDate="46279.777591087965" createdVersion="3" refreshedVersion="8" minRefreshableVersion="3" recordCount="0" supportSubquery="1" supportAdvancedDrill="1" xr:uid="{3B763C8B-7F28-4647-BD70-ED9AA02C79DE}">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Main_Data].[SKU]" caption="SKU" attribute="1" defaultMemberUniqueName="[Main_Data].[SKU].[All]" allUniqueName="[Main_Data].[SKU].[All]" dimensionUniqueName="[Main_Data]" displayFolder="" count="0" memberValueDatatype="130" unbalanced="0"/>
    <cacheHierarchy uniqueName="[Main_Data].[Product Category]" caption="Product Category" attribute="1" defaultMemberUniqueName="[Main_Data].[Product Category].[All]" allUniqueName="[Main_Data].[Product Category].[All]" dimensionUniqueName="[Main_Data]" displayFolder="" count="2" memberValueDatatype="130" unbalanced="0"/>
    <cacheHierarchy uniqueName="[Main_Data].[Current Stock]" caption="Current Stock" attribute="1" defaultMemberUniqueName="[Main_Data].[Current Stock].[All]" allUniqueName="[Main_Data].[Current Stock].[All]" dimensionUniqueName="[Main_Data]" displayFolder="" count="0" memberValueDatatype="20" unbalanced="0"/>
    <cacheHierarchy uniqueName="[Main_Data].[Warehouse Location]" caption="Warehouse Location" attribute="1" defaultMemberUniqueName="[Main_Data].[Warehouse Location].[All]" allUniqueName="[Main_Data].[Warehouse Location].[All]" dimensionUniqueName="[Main_Data]" displayFolder="" count="2" memberValueDatatype="130" unbalanced="0"/>
    <cacheHierarchy uniqueName="[Main_Data].[Reorder Quantity]" caption="Reorder Quantity" attribute="1" defaultMemberUniqueName="[Main_Data].[Reorder Quantity].[All]" allUniqueName="[Main_Data].[Reorder Quantity].[All]" dimensionUniqueName="[Main_Data]" displayFolder="" count="0" memberValueDatatype="20" unbalanced="0"/>
    <cacheHierarchy uniqueName="[Main_Data].[Lead Time Days]" caption="Lead Time Days" attribute="1" defaultMemberUniqueName="[Main_Data].[Lead Time Days].[All]" allUniqueName="[Main_Data].[Lead Time Days].[All]" dimensionUniqueName="[Main_Data]" displayFolder="" count="0" memberValueDatatype="20" unbalanced="0"/>
    <cacheHierarchy uniqueName="[Main_Data].[Supplier]" caption="Supplier" attribute="1" defaultMemberUniqueName="[Main_Data].[Supplier].[All]" allUniqueName="[Main_Data].[Supplier].[All]" dimensionUniqueName="[Main_Data]" displayFolder="" count="2" memberValueDatatype="130" unbalanced="0"/>
    <cacheHierarchy uniqueName="[Main_Data].[Unit Cost]" caption="Unit Cost" attribute="1" defaultMemberUniqueName="[Main_Data].[Unit Cost].[All]" allUniqueName="[Main_Data].[Unit Cost].[All]" dimensionUniqueName="[Main_Data]" displayFolder="" count="0" memberValueDatatype="5" unbalanced="0"/>
    <cacheHierarchy uniqueName="[Main_Data].[Unit Selling Price]" caption="Unit Selling Price" attribute="1" defaultMemberUniqueName="[Main_Data].[Unit Selling Price].[All]" allUniqueName="[Main_Data].[Unit Selling Price].[All]" dimensionUniqueName="[Main_Data]" displayFolder="" count="0" memberValueDatatype="5" unbalanced="0"/>
    <cacheHierarchy uniqueName="[Main_Data].[Total Units Sold]" caption="Total Units Sold" attribute="1" defaultMemberUniqueName="[Main_Data].[Total Units Sold].[All]" allUniqueName="[Main_Data].[Total Units Sold].[All]" dimensionUniqueName="[Main_Data]" displayFolder="" count="0" memberValueDatatype="20" unbalanced="0"/>
    <cacheHierarchy uniqueName="[Main_Data].[Total Inventory Value]" caption="Total Inventory Value" attribute="1" defaultMemberUniqueName="[Main_Data].[Total Inventory Value].[All]" allUniqueName="[Main_Data].[Total Inventory Value].[All]" dimensionUniqueName="[Main_Data]" displayFolder="" count="0" memberValueDatatype="5" unbalanced="0"/>
    <cacheHierarchy uniqueName="[Main_Data].[Gross Profit Margin]" caption="Gross Profit Margin" attribute="1" defaultMemberUniqueName="[Main_Data].[Gross Profit Margin].[All]" allUniqueName="[Main_Data].[Gross Profit Margin].[All]" dimensionUniqueName="[Main_Data]" displayFolder="" count="0" memberValueDatatype="5" unbalanced="0"/>
    <cacheHierarchy uniqueName="[Main_Data].[Total Profit Generated]" caption="Total Profit Generated" attribute="1" defaultMemberUniqueName="[Main_Data].[Total Profit Generated].[All]" allUniqueName="[Main_Data].[Total Profit Generated].[All]" dimensionUniqueName="[Main_Data]" displayFolder="" count="0" memberValueDatatype="5" unbalanced="0"/>
    <cacheHierarchy uniqueName="[Main_Data].[Inventory Turnover Ratio]" caption="Inventory Turnover Ratio" attribute="1" defaultMemberUniqueName="[Main_Data].[Inventory Turnover Ratio].[All]" allUniqueName="[Main_Data].[Inventory Turnover Ratio].[All]" dimensionUniqueName="[Main_Data]" displayFolder="" count="0" memberValueDatatype="5" unbalanced="0"/>
    <cacheHierarchy uniqueName="[Main_Data].[Margin Check]" caption="Margin Check" attribute="1" defaultMemberUniqueName="[Main_Data].[Margin Check].[All]" allUniqueName="[Main_Data].[Margin Check].[All]" dimensionUniqueName="[Main_Data]" displayFolder="" count="0" memberValueDatatype="130" unbalanced="0"/>
    <cacheHierarchy uniqueName="[Main_Data].[Restock Status]" caption="Restock Status" attribute="1" defaultMemberUniqueName="[Main_Data].[Restock Status].[All]" allUniqueName="[Main_Data].[Restock Status].[All]" dimensionUniqueName="[Main_Data]" displayFolder="" count="2" memberValueDatatype="130" unbalanced="0"/>
    <cacheHierarchy uniqueName="[supply_chain_data].[SKU]" caption="SKU" attribute="1" defaultMemberUniqueName="[supply_chain_data].[SKU].[All]" allUniqueName="[supply_chain_data].[SKU].[All]" dimensionUniqueName="[supply_chain_data]" displayFolder="" count="0" memberValueDatatype="130" unbalanced="0"/>
    <cacheHierarchy uniqueName="[supply_chain_data].[Product Category]" caption="Product Category" attribute="1" defaultMemberUniqueName="[supply_chain_data].[Product Category].[All]" allUniqueName="[supply_chain_data].[Product Category].[All]" dimensionUniqueName="[supply_chain_data]" displayFolder="" count="0" memberValueDatatype="130" unbalanced="0"/>
    <cacheHierarchy uniqueName="[supply_chain_data].[Current Stock]" caption="Current Stock" attribute="1" defaultMemberUniqueName="[supply_chain_data].[Current Stock].[All]" allUniqueName="[supply_chain_data].[Current Stock].[All]" dimensionUniqueName="[supply_chain_data]" displayFolder="" count="0" memberValueDatatype="20" unbalanced="0"/>
    <cacheHierarchy uniqueName="[supply_chain_data].[Warehouse Location]" caption="Warehouse Location" attribute="1" defaultMemberUniqueName="[supply_chain_data].[Warehouse Location].[All]" allUniqueName="[supply_chain_data].[Warehouse Location].[All]" dimensionUniqueName="[supply_chain_data]" displayFolder="" count="0" memberValueDatatype="130" unbalanced="0"/>
    <cacheHierarchy uniqueName="[supply_chain_data].[Reorder Quantity]" caption="Reorder Quantity" attribute="1" defaultMemberUniqueName="[supply_chain_data].[Reorder Quantity].[All]" allUniqueName="[supply_chain_data].[Reorder Quantity].[All]" dimensionUniqueName="[supply_chain_data]" displayFolder="" count="0" memberValueDatatype="20" unbalanced="0"/>
    <cacheHierarchy uniqueName="[supply_chain_data].[Lead Time Days]" caption="Lead Time Days" attribute="1" defaultMemberUniqueName="[supply_chain_data].[Lead Time Days].[All]" allUniqueName="[supply_chain_data].[Lead Time Days].[All]" dimensionUniqueName="[supply_chain_data]" displayFolder="" count="0" memberValueDatatype="20" unbalanced="0"/>
    <cacheHierarchy uniqueName="[supply_chain_data].[Supplier]" caption="Supplier" attribute="1" defaultMemberUniqueName="[supply_chain_data].[Supplier].[All]" allUniqueName="[supply_chain_data].[Supplier].[All]" dimensionUniqueName="[supply_chain_data]" displayFolder="" count="0" memberValueDatatype="130" unbalanced="0"/>
    <cacheHierarchy uniqueName="[supply_chain_data].[Unit Cost]" caption="Unit Cost" attribute="1" defaultMemberUniqueName="[supply_chain_data].[Unit Cost].[All]" allUniqueName="[supply_chain_data].[Unit Cost].[All]" dimensionUniqueName="[supply_chain_data]" displayFolder="" count="0" memberValueDatatype="5" unbalanced="0"/>
    <cacheHierarchy uniqueName="[supply_chain_data].[Unit Selling Price]" caption="Unit Selling Price" attribute="1" defaultMemberUniqueName="[supply_chain_data].[Unit Selling Price].[All]" allUniqueName="[supply_chain_data].[Unit Selling Price].[All]" dimensionUniqueName="[supply_chain_data]" displayFolder="" count="0" memberValueDatatype="5" unbalanced="0"/>
    <cacheHierarchy uniqueName="[supply_chain_data].[Total Units Sold]" caption="Total Units Sold" attribute="1" defaultMemberUniqueName="[supply_chain_data].[Total Units Sold].[All]" allUniqueName="[supply_chain_data].[Total Units Sold].[All]" dimensionUniqueName="[supply_chain_data]" displayFolder="" count="0" memberValueDatatype="20" unbalanced="0"/>
    <cacheHierarchy uniqueName="[supply_chain_data].[Total Revenue]" caption="Total Revenue" attribute="1" defaultMemberUniqueName="[supply_chain_data].[Total Revenue].[All]" allUniqueName="[supply_chain_data].[Total Revenue].[All]" dimensionUniqueName="[supply_chain_data]" displayFolder="" count="0" memberValueDatatype="5" unbalanced="0"/>
    <cacheHierarchy uniqueName="[Measures].[__XL_Count supply_chain_data]" caption="__XL_Count supply_chain_data" measure="1" displayFolder="" measureGroup="supply_chain_data" count="0" hidden="1"/>
    <cacheHierarchy uniqueName="[Measures].[__XL_Count Main_Data]" caption="__XL_Count Main_Data" measure="1" displayFolder="" measureGroup="Main_Data" count="0" hidden="1"/>
    <cacheHierarchy uniqueName="[Measures].[__No measures defined]" caption="__No measures defined" measure="1" displayFolder="" count="0" hidden="1"/>
    <cacheHierarchy uniqueName="[Measures].[Sum of Total Inventory Value]" caption="Sum of Total Inventory Value" measure="1" displayFolder="" measureGroup="Main_Data" count="0" hidden="1">
      <extLst>
        <ext xmlns:x15="http://schemas.microsoft.com/office/spreadsheetml/2010/11/main" uri="{B97F6D7D-B522-45F9-BDA1-12C45D357490}">
          <x15:cacheHierarchy aggregatedColumn="10"/>
        </ext>
      </extLst>
    </cacheHierarchy>
    <cacheHierarchy uniqueName="[Measures].[Sum of Total Units Sold]" caption="Sum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Count of Total Units Sold]" caption="Count of Total Units Sold" measure="1" displayFolder="" measureGroup="Main_Data" count="0" hidden="1">
      <extLst>
        <ext xmlns:x15="http://schemas.microsoft.com/office/spreadsheetml/2010/11/main" uri="{B97F6D7D-B522-45F9-BDA1-12C45D357490}">
          <x15:cacheHierarchy aggregatedColumn="9"/>
        </ext>
      </extLst>
    </cacheHierarchy>
    <cacheHierarchy uniqueName="[Measures].[Max of Total Units Sold]" caption="Max of Total Units Sold" measure="1" displayFolder="" measureGroup="Main_Data"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6982073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A4B455-2B86-4C0F-99D8-AE97467712D1}" name="SKU_Count_KPI" cacheId="7" applyNumberFormats="0" applyBorderFormats="0" applyFontFormats="0" applyPatternFormats="0" applyAlignmentFormats="0" applyWidthHeightFormats="1" dataCaption="Values" tag="6ba79103-9c47-4880-ae06-4587eaea109c" updatedVersion="8" minRefreshableVersion="3" useAutoFormatting="1" subtotalHiddenItems="1" itemPrintTitles="1" createdVersion="8" indent="0" outline="1" outlineData="1" multipleFieldFilters="0">
  <location ref="J2:J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SKU" fld="0" subtotal="count" baseField="0" baseItem="0"/>
  </dataFields>
  <pivotHierarchies count="4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_Data].[Restock Status].&amp;[Reor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FB4D6C-E6BF-4550-9A20-AEACF28603F5}" name="Avg_Lead_Time_KPI" cacheId="6" applyNumberFormats="0" applyBorderFormats="0" applyFontFormats="0" applyPatternFormats="0" applyAlignmentFormats="0" applyWidthHeightFormats="1" dataCaption="Values" tag="50fbe062-e941-48e3-916e-396872ebde84" updatedVersion="8" minRefreshableVersion="3" useAutoFormatting="1" subtotalHiddenItems="1" itemPrintTitles="1" createdVersion="8" indent="0" outline="1" outlineData="1" multipleFieldFilters="0">
  <location ref="F2:F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Lead Time Days" fld="0" subtotal="average" baseField="0" baseItem="0" numFmtId="168"/>
  </dataFields>
  <pivotHierarchies count="4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_Data].[Restock Status].&amp;[Reor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Lead Time Day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877E5A-0167-4AB1-9A28-6C8EF44881DA}" name="Total_Inventory_Value KPI" cacheId="5" applyNumberFormats="0" applyBorderFormats="0" applyFontFormats="0" applyPatternFormats="0" applyAlignmentFormats="0" applyWidthHeightFormats="1" dataCaption="Values" tag="e99ec616-929f-4f85-9f0b-8efc1b30800b" updatedVersion="8" minRefreshableVersion="3" useAutoFormatting="1" subtotalHiddenItems="1" itemPrintTitles="1" createdVersion="8" indent="0" outline="1" outlineData="1" multipleFieldFilters="0">
  <location ref="B2:B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Total Inventory Value" fld="0" baseField="0" baseItem="0" numFmtId="166"/>
  </dataFields>
  <pivotHierarchies count="4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_Data].[Restock Status].&amp;[Reor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E8AD06-CC5D-4E38-85DA-493FC88AD966}" name="Restock_Status_KPI" cacheId="9" applyNumberFormats="0" applyBorderFormats="0" applyFontFormats="0" applyPatternFormats="0" applyAlignmentFormats="0" applyWidthHeightFormats="1" dataCaption="Values" tag="cf84e14d-915b-4700-9765-6878bd759577" updatedVersion="8" minRefreshableVersion="3" useAutoFormatting="1" subtotalHiddenItems="1" itemPrintTitles="1" createdVersion="8" indent="0" outline="1" outlineData="1" multipleFieldFilters="0">
  <location ref="L3:L4" firstHeaderRow="1" firstDataRow="1" firstDataCol="0" rowPageCount="1" colPageCount="1"/>
  <pivotFields count="3">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15" name="[Main_Data].[Restock Status].&amp;[Reorder]" cap="Reorder"/>
  </pageFields>
  <dataFields count="1">
    <dataField name="Count of Restock Status" fld="1" subtotal="count" baseField="0" baseItem="0"/>
  </dataFields>
  <pivotHierarchies count="4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_Data].[Restock Status].&amp;[Reor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39F5A0-2375-4D98-A85E-107D9E0E5C56}" name="Current_Stock_KPI" cacheId="8" applyNumberFormats="0" applyBorderFormats="0" applyFontFormats="0" applyPatternFormats="0" applyAlignmentFormats="0" applyWidthHeightFormats="1" dataCaption="Values" tag="8ded5324-7709-4c8c-99c7-73f26714bdac" updatedVersion="8" minRefreshableVersion="3" subtotalHiddenItems="1" itemPrintTitles="1" createdVersion="8" indent="0" outline="1" outlineData="1" multipleFieldFilters="0">
  <location ref="D2:D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Current Stock" fld="0" baseField="0" baseItem="0"/>
  </dataFields>
  <pivotHierarchies count="4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_Data].[Restock Status].&amp;[Reor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41410C-076F-4F0A-BAF9-5AB651F261B5}" name="Total_Category_Value" cacheId="0" applyNumberFormats="0" applyBorderFormats="0" applyFontFormats="0" applyPatternFormats="0" applyAlignmentFormats="0" applyWidthHeightFormats="1" dataCaption="Values" tag="6a837d09-5067-4411-b5d4-ed991aa1a191" updatedVersion="8" minRefreshableVersion="3" useAutoFormatting="1" subtotalHiddenItems="1" itemPrintTitles="1" createdVersion="5" indent="0" outline="1" outlineData="1" multipleFieldFilters="0" chartFormat="16">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 Inventory Value" fld="1" baseField="0" baseItem="0" numFmtId="166"/>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4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_Data].[Restock Status].&amp;[Reor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33989E-9A2F-4A92-8E3E-092865F029E5}" name="Top_10_Products" cacheId="4" applyNumberFormats="0" applyBorderFormats="0" applyFontFormats="0" applyPatternFormats="0" applyAlignmentFormats="0" applyWidthHeightFormats="1" dataCaption="Values" tag="db839ddb-1573-4d49-a90f-8403b954e750" updatedVersion="8" minRefreshableVersion="3" useAutoFormatting="1" subtotalHiddenItems="1" itemPrintTitles="1" createdVersion="5" indent="0" outline="1" outlineData="1" multipleFieldFilters="0" chartFormat="6">
  <location ref="B3:C14" firstHeaderRow="1" firstDataRow="1" firstDataCol="1"/>
  <pivotFields count="4">
    <pivotField axis="axisRow" allDrilled="1" subtotalTop="0" showAll="0" measureFilter="1" sortType="ascending" defaultSubtotal="0" defaultAttributeDrillState="1">
      <items count="22">
        <item x="0"/>
        <item x="1"/>
        <item x="2"/>
        <item x="3"/>
        <item x="4"/>
        <item x="5"/>
        <item x="6"/>
        <item x="7"/>
        <item x="8"/>
        <item x="9"/>
        <item x="10"/>
        <item x="11"/>
        <item x="12"/>
        <item x="13"/>
        <item x="14"/>
        <item x="15"/>
        <item x="16"/>
        <item x="17"/>
        <item x="18"/>
        <item x="19"/>
        <item x="20"/>
        <item x="2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8"/>
    </i>
    <i>
      <x v="5"/>
    </i>
    <i>
      <x v="4"/>
    </i>
    <i>
      <x v="6"/>
    </i>
    <i>
      <x v="1"/>
    </i>
    <i>
      <x v="3"/>
    </i>
    <i>
      <x v="2"/>
    </i>
    <i>
      <x v="7"/>
    </i>
    <i>
      <x v="9"/>
    </i>
    <i>
      <x/>
    </i>
    <i t="grand">
      <x/>
    </i>
  </rowItems>
  <colItems count="1">
    <i/>
  </colItems>
  <dataFields count="1">
    <dataField name="Sum of Total Units Sold" fld="1" baseField="0" baseItem="8" numFmtId="169"/>
  </dataFields>
  <formats count="2">
    <format dxfId="7">
      <pivotArea grandRow="1" outline="0" collapsedLevelsAreSubtotals="1" fieldPosition="0"/>
    </format>
    <format dxfId="6">
      <pivotArea outline="0" collapsedLevelsAreSubtotals="1" fieldPosition="0"/>
    </format>
  </formats>
  <chartFormats count="34">
    <chartFormat chart="0" format="0"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13"/>
          </reference>
        </references>
      </pivotArea>
    </chartFormat>
    <chartFormat chart="5" format="14">
      <pivotArea type="data" outline="0" fieldPosition="0">
        <references count="2">
          <reference field="4294967294" count="1" selected="0">
            <x v="0"/>
          </reference>
          <reference field="0" count="1" selected="0">
            <x v="15"/>
          </reference>
        </references>
      </pivotArea>
    </chartFormat>
    <chartFormat chart="5" format="15">
      <pivotArea type="data" outline="0" fieldPosition="0">
        <references count="2">
          <reference field="4294967294" count="1" selected="0">
            <x v="0"/>
          </reference>
          <reference field="0" count="1" selected="0">
            <x v="14"/>
          </reference>
        </references>
      </pivotArea>
    </chartFormat>
    <chartFormat chart="5" format="16">
      <pivotArea type="data" outline="0" fieldPosition="0">
        <references count="2">
          <reference field="4294967294" count="1" selected="0">
            <x v="0"/>
          </reference>
          <reference field="0" count="1" selected="0">
            <x v="21"/>
          </reference>
        </references>
      </pivotArea>
    </chartFormat>
    <chartFormat chart="5" format="17">
      <pivotArea type="data" outline="0" fieldPosition="0">
        <references count="2">
          <reference field="4294967294" count="1" selected="0">
            <x v="0"/>
          </reference>
          <reference field="0" count="1" selected="0">
            <x v="5"/>
          </reference>
        </references>
      </pivotArea>
    </chartFormat>
    <chartFormat chart="5" format="18">
      <pivotArea type="data" outline="0" fieldPosition="0">
        <references count="2">
          <reference field="4294967294" count="1" selected="0">
            <x v="0"/>
          </reference>
          <reference field="0" count="1" selected="0">
            <x v="6"/>
          </reference>
        </references>
      </pivotArea>
    </chartFormat>
    <chartFormat chart="5" format="19">
      <pivotArea type="data" outline="0" fieldPosition="0">
        <references count="2">
          <reference field="4294967294" count="1" selected="0">
            <x v="0"/>
          </reference>
          <reference field="0" count="1" selected="0">
            <x v="1"/>
          </reference>
        </references>
      </pivotArea>
    </chartFormat>
    <chartFormat chart="5" format="20">
      <pivotArea type="data" outline="0" fieldPosition="0">
        <references count="2">
          <reference field="4294967294" count="1" selected="0">
            <x v="0"/>
          </reference>
          <reference field="0" count="1" selected="0">
            <x v="2"/>
          </reference>
        </references>
      </pivotArea>
    </chartFormat>
    <chartFormat chart="5" format="21">
      <pivotArea type="data" outline="0" fieldPosition="0">
        <references count="2">
          <reference field="4294967294" count="1" selected="0">
            <x v="0"/>
          </reference>
          <reference field="0" count="1" selected="0">
            <x v="7"/>
          </reference>
        </references>
      </pivotArea>
    </chartFormat>
    <chartFormat chart="5" format="22">
      <pivotArea type="data" outline="0" fieldPosition="0">
        <references count="2">
          <reference field="4294967294" count="1" selected="0">
            <x v="0"/>
          </reference>
          <reference field="0" count="1" selected="0">
            <x v="0"/>
          </reference>
        </references>
      </pivotArea>
    </chartFormat>
    <chartFormat chart="5" format="23">
      <pivotArea type="data" outline="0" fieldPosition="0">
        <references count="2">
          <reference field="4294967294" count="1" selected="0">
            <x v="0"/>
          </reference>
          <reference field="0" count="1" selected="0">
            <x v="19"/>
          </reference>
        </references>
      </pivotArea>
    </chartFormat>
    <chartFormat chart="5" format="24">
      <pivotArea type="data" outline="0" fieldPosition="0">
        <references count="2">
          <reference field="4294967294" count="1" selected="0">
            <x v="0"/>
          </reference>
          <reference field="0" count="1" selected="0">
            <x v="18"/>
          </reference>
        </references>
      </pivotArea>
    </chartFormat>
    <chartFormat chart="5" format="25">
      <pivotArea type="data" outline="0" fieldPosition="0">
        <references count="2">
          <reference field="4294967294" count="1" selected="0">
            <x v="0"/>
          </reference>
          <reference field="0" count="1" selected="0">
            <x v="10"/>
          </reference>
        </references>
      </pivotArea>
    </chartFormat>
    <chartFormat chart="5" format="26">
      <pivotArea type="data" outline="0" fieldPosition="0">
        <references count="2">
          <reference field="4294967294" count="1" selected="0">
            <x v="0"/>
          </reference>
          <reference field="0" count="1" selected="0">
            <x v="11"/>
          </reference>
        </references>
      </pivotArea>
    </chartFormat>
    <chartFormat chart="5" format="27">
      <pivotArea type="data" outline="0" fieldPosition="0">
        <references count="2">
          <reference field="4294967294" count="1" selected="0">
            <x v="0"/>
          </reference>
          <reference field="0" count="1" selected="0">
            <x v="16"/>
          </reference>
        </references>
      </pivotArea>
    </chartFormat>
    <chartFormat chart="5" format="28">
      <pivotArea type="data" outline="0" fieldPosition="0">
        <references count="2">
          <reference field="4294967294" count="1" selected="0">
            <x v="0"/>
          </reference>
          <reference field="0" count="1" selected="0">
            <x v="20"/>
          </reference>
        </references>
      </pivotArea>
    </chartFormat>
    <chartFormat chart="5" format="29">
      <pivotArea type="data" outline="0" fieldPosition="0">
        <references count="2">
          <reference field="4294967294" count="1" selected="0">
            <x v="0"/>
          </reference>
          <reference field="0" count="1" selected="0">
            <x v="12"/>
          </reference>
        </references>
      </pivotArea>
    </chartFormat>
    <chartFormat chart="5" format="30">
      <pivotArea type="data" outline="0" fieldPosition="0">
        <references count="2">
          <reference field="4294967294" count="1" selected="0">
            <x v="0"/>
          </reference>
          <reference field="0" count="1" selected="0">
            <x v="17"/>
          </reference>
        </references>
      </pivotArea>
    </chartFormat>
    <chartFormat chart="0" format="1">
      <pivotArea type="data" outline="0" fieldPosition="0">
        <references count="2">
          <reference field="4294967294" count="1" selected="0">
            <x v="0"/>
          </reference>
          <reference field="0" count="1" selected="0">
            <x v="8"/>
          </reference>
        </references>
      </pivotArea>
    </chartFormat>
    <chartFormat chart="0" format="2">
      <pivotArea type="data" outline="0" fieldPosition="0">
        <references count="2">
          <reference field="4294967294" count="1" selected="0">
            <x v="0"/>
          </reference>
          <reference field="0" count="1" selected="0">
            <x v="5"/>
          </reference>
        </references>
      </pivotArea>
    </chartFormat>
    <chartFormat chart="0" format="3">
      <pivotArea type="data" outline="0" fieldPosition="0">
        <references count="2">
          <reference field="4294967294" count="1" selected="0">
            <x v="0"/>
          </reference>
          <reference field="0" count="1" selected="0">
            <x v="4"/>
          </reference>
        </references>
      </pivotArea>
    </chartFormat>
    <chartFormat chart="0" format="4">
      <pivotArea type="data" outline="0" fieldPosition="0">
        <references count="2">
          <reference field="4294967294" count="1" selected="0">
            <x v="0"/>
          </reference>
          <reference field="0" count="1" selected="0">
            <x v="6"/>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3"/>
          </reference>
        </references>
      </pivotArea>
    </chartFormat>
    <chartFormat chart="0" format="7">
      <pivotArea type="data" outline="0" fieldPosition="0">
        <references count="2">
          <reference field="4294967294" count="1" selected="0">
            <x v="0"/>
          </reference>
          <reference field="0" count="1" selected="0">
            <x v="2"/>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9"/>
          </reference>
        </references>
      </pivotArea>
    </chartFormat>
    <chartFormat chart="0" format="10">
      <pivotArea type="data" outline="0" fieldPosition="0">
        <references count="2">
          <reference field="4294967294" count="1" selected="0">
            <x v="0"/>
          </reference>
          <reference field="0" count="1" selected="0">
            <x v="0"/>
          </reference>
        </references>
      </pivotArea>
    </chartFormat>
    <chartFormat chart="5" format="31">
      <pivotArea type="data" outline="0" fieldPosition="0">
        <references count="2">
          <reference field="4294967294" count="1" selected="0">
            <x v="0"/>
          </reference>
          <reference field="0" count="1" selected="0">
            <x v="8"/>
          </reference>
        </references>
      </pivotArea>
    </chartFormat>
    <chartFormat chart="5" format="32">
      <pivotArea type="data" outline="0" fieldPosition="0">
        <references count="2">
          <reference field="4294967294" count="1" selected="0">
            <x v="0"/>
          </reference>
          <reference field="0" count="1" selected="0">
            <x v="4"/>
          </reference>
        </references>
      </pivotArea>
    </chartFormat>
    <chartFormat chart="5" format="33">
      <pivotArea type="data" outline="0" fieldPosition="0">
        <references count="2">
          <reference field="4294967294" count="1" selected="0">
            <x v="0"/>
          </reference>
          <reference field="0" count="1" selected="0">
            <x v="3"/>
          </reference>
        </references>
      </pivotArea>
    </chartFormat>
    <chartFormat chart="5" format="34">
      <pivotArea type="data" outline="0" fieldPosition="0">
        <references count="2">
          <reference field="4294967294" count="1" selected="0">
            <x v="0"/>
          </reference>
          <reference field="0" count="1" selected="0">
            <x v="9"/>
          </reference>
        </references>
      </pivotArea>
    </chartFormat>
  </chartFormats>
  <pivotHierarchies count="4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_Data].[Restock Status].&amp;[Reor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m of Total Units Sold"/>
    <pivotHierarchy dragToData="1" caption="Count of Total Units Sold"/>
    <pivotHierarchy dragToData="1" caption="Max of Total Units Sol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1">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89ADEB-5BEA-4E5B-8EFC-00AD1E0D462D}" name="Supplier_Lead_Time" cacheId="3" applyNumberFormats="0" applyBorderFormats="0" applyFontFormats="0" applyPatternFormats="0" applyAlignmentFormats="0" applyWidthHeightFormats="1" dataCaption="Values" tag="4a4ee604-95cf-4bef-ab7f-2ab64476f638" updatedVersion="8" minRefreshableVersion="3" useAutoFormatting="1" subtotalHiddenItems="1" itemPrintTitles="1" createdVersion="5" indent="0" outline="1" outlineData="1" multipleFieldFilters="0" chartFormat="13">
  <location ref="B3:D9"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Average of Lead Time Days" fld="1" subtotal="average" baseField="0" baseItem="0" numFmtId="168"/>
    <dataField name="Count of SKU" fld="2" subtotal="count" baseField="0" baseItem="0"/>
  </dataFields>
  <formats count="1">
    <format dxfId="5">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Hierarchies count="4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_Data].[Restock Status].&amp;[Reor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Lead Time Day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5074B9-B472-4313-A8B6-E683A06FAB21}" name="Product_Profitability" cacheId="1" applyNumberFormats="0" applyBorderFormats="0" applyFontFormats="0" applyPatternFormats="0" applyAlignmentFormats="0" applyWidthHeightFormats="1" dataCaption="Values" tag="07296494-9cf4-4a19-98b7-98a68454b107" updatedVersion="8" minRefreshableVersion="3" useAutoFormatting="1" subtotalHiddenItems="1" itemPrintTitles="1" createdVersion="5" indent="0" outline="1" outlineData="1" multipleFieldFilters="0" chartFormat="6">
  <location ref="B3:C6"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SKU"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s>
  <pivotHierarchies count="4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_Data].[Restock Status].&amp;[Reor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6896939-D36F-4BA2-B0A9-268E5D3D8B47}" name="Reorder_Alert" cacheId="2" applyNumberFormats="0" applyBorderFormats="0" applyFontFormats="0" applyPatternFormats="0" applyAlignmentFormats="0" applyWidthHeightFormats="1" dataCaption="Values" tag="3d37bb90-8c11-4b54-8dd1-ed08a064b778" updatedVersion="8" minRefreshableVersion="3" useAutoFormatting="1" subtotalHiddenItems="1" rowGrandTotals="0" colGrandTotals="0" itemPrintTitles="1" createdVersion="5" indent="0" compact="0" compactData="0" multipleFieldFilters="0">
  <location ref="B3:H57" firstHeaderRow="0" firstDataRow="1" firstDataCol="4" rowPageCount="1" colPageCount="1"/>
  <pivotFields count="8">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5">
        <item x="0"/>
        <item x="1"/>
        <item x="2"/>
        <item x="3"/>
        <item x="4"/>
      </items>
    </pivotField>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dataField="1" compact="0" outline="0" subtotalTop="0" showAll="0" defaultSubtotal="0"/>
    <pivotField dataField="1" compact="0" outline="0" subtotalTop="0" showAll="0" defaultSubtotal="0"/>
  </pivotFields>
  <rowFields count="4">
    <field x="1"/>
    <field x="2"/>
    <field x="3"/>
    <field x="4"/>
  </rowFields>
  <rowItems count="54">
    <i>
      <x/>
      <x/>
      <x/>
      <x/>
    </i>
    <i>
      <x v="1"/>
      <x v="1"/>
      <x v="1"/>
      <x v="1"/>
    </i>
    <i>
      <x v="2"/>
      <x v="1"/>
      <x v="2"/>
      <x v="1"/>
    </i>
    <i>
      <x v="3"/>
      <x v="1"/>
      <x v="3"/>
      <x v="1"/>
    </i>
    <i>
      <x v="4"/>
      <x v="1"/>
      <x v="3"/>
      <x v="2"/>
    </i>
    <i>
      <x v="5"/>
      <x v="1"/>
      <x v="3"/>
      <x v="2"/>
    </i>
    <i>
      <x v="6"/>
      <x v="2"/>
      <x v="3"/>
      <x v="3"/>
    </i>
    <i>
      <x v="7"/>
      <x/>
      <x v="2"/>
      <x v="1"/>
    </i>
    <i>
      <x v="8"/>
      <x v="1"/>
      <x v="4"/>
      <x v="3"/>
    </i>
    <i>
      <x v="9"/>
      <x/>
      <x v="3"/>
      <x/>
    </i>
    <i>
      <x v="10"/>
      <x v="1"/>
      <x v="3"/>
      <x v="3"/>
    </i>
    <i>
      <x v="11"/>
      <x v="2"/>
      <x v="1"/>
      <x/>
    </i>
    <i>
      <x v="12"/>
      <x v="2"/>
      <x v="3"/>
      <x v="1"/>
    </i>
    <i>
      <x v="13"/>
      <x v="1"/>
      <x v="1"/>
      <x v="1"/>
    </i>
    <i>
      <x v="14"/>
      <x v="1"/>
      <x/>
      <x v="3"/>
    </i>
    <i>
      <x v="15"/>
      <x v="2"/>
      <x v="1"/>
      <x v="3"/>
    </i>
    <i>
      <x v="16"/>
      <x v="1"/>
      <x v="3"/>
      <x v="3"/>
    </i>
    <i>
      <x v="17"/>
      <x v="2"/>
      <x v="3"/>
      <x v="4"/>
    </i>
    <i>
      <x v="18"/>
      <x v="1"/>
      <x v="2"/>
      <x v="4"/>
    </i>
    <i>
      <x v="19"/>
      <x v="2"/>
      <x v="1"/>
      <x/>
    </i>
    <i>
      <x v="20"/>
      <x v="1"/>
      <x v="3"/>
      <x v="4"/>
    </i>
    <i>
      <x v="21"/>
      <x v="1"/>
      <x v="1"/>
      <x v="2"/>
    </i>
    <i>
      <x v="22"/>
      <x/>
      <x v="1"/>
      <x/>
    </i>
    <i>
      <x v="23"/>
      <x v="2"/>
      <x v="2"/>
      <x v="4"/>
    </i>
    <i>
      <x v="24"/>
      <x v="1"/>
      <x v="3"/>
      <x v="1"/>
    </i>
    <i>
      <x v="25"/>
      <x v="2"/>
      <x v="2"/>
      <x v="4"/>
    </i>
    <i>
      <x v="26"/>
      <x/>
      <x v="3"/>
      <x v="1"/>
    </i>
    <i>
      <x v="27"/>
      <x v="1"/>
      <x v="3"/>
      <x/>
    </i>
    <i>
      <x v="28"/>
      <x/>
      <x v="2"/>
      <x v="4"/>
    </i>
    <i>
      <x v="29"/>
      <x v="1"/>
      <x/>
      <x v="4"/>
    </i>
    <i>
      <x v="30"/>
      <x v="1"/>
      <x/>
      <x v="1"/>
    </i>
    <i>
      <x v="31"/>
      <x v="1"/>
      <x v="4"/>
      <x/>
    </i>
    <i>
      <x v="32"/>
      <x/>
      <x v="4"/>
      <x v="1"/>
    </i>
    <i>
      <x v="33"/>
      <x v="1"/>
      <x v="3"/>
      <x v="4"/>
    </i>
    <i>
      <x v="34"/>
      <x v="1"/>
      <x v="1"/>
      <x v="1"/>
    </i>
    <i>
      <x v="35"/>
      <x v="1"/>
      <x v="3"/>
      <x/>
    </i>
    <i>
      <x v="36"/>
      <x/>
      <x v="2"/>
      <x v="2"/>
    </i>
    <i>
      <x v="37"/>
      <x/>
      <x v="3"/>
      <x v="2"/>
    </i>
    <i>
      <x v="38"/>
      <x v="2"/>
      <x v="3"/>
      <x v="2"/>
    </i>
    <i>
      <x v="39"/>
      <x v="2"/>
      <x v="4"/>
      <x v="3"/>
    </i>
    <i>
      <x v="40"/>
      <x v="1"/>
      <x v="3"/>
      <x v="3"/>
    </i>
    <i>
      <x v="41"/>
      <x/>
      <x v="1"/>
      <x/>
    </i>
    <i>
      <x v="42"/>
      <x v="2"/>
      <x v="4"/>
      <x/>
    </i>
    <i>
      <x v="43"/>
      <x v="1"/>
      <x/>
      <x v="3"/>
    </i>
    <i>
      <x v="44"/>
      <x v="1"/>
      <x v="2"/>
      <x/>
    </i>
    <i>
      <x v="45"/>
      <x/>
      <x v="1"/>
      <x v="3"/>
    </i>
    <i>
      <x v="46"/>
      <x v="2"/>
      <x v="1"/>
      <x v="3"/>
    </i>
    <i>
      <x v="47"/>
      <x/>
      <x/>
      <x v="3"/>
    </i>
    <i>
      <x v="48"/>
      <x v="2"/>
      <x v="2"/>
      <x/>
    </i>
    <i>
      <x v="49"/>
      <x v="1"/>
      <x v="2"/>
      <x v="3"/>
    </i>
    <i>
      <x v="50"/>
      <x v="1"/>
      <x/>
      <x v="2"/>
    </i>
    <i>
      <x v="51"/>
      <x/>
      <x v="4"/>
      <x v="3"/>
    </i>
    <i>
      <x v="52"/>
      <x/>
      <x v="4"/>
      <x/>
    </i>
    <i>
      <x v="53"/>
      <x/>
      <x v="2"/>
      <x v="3"/>
    </i>
  </rowItems>
  <colFields count="1">
    <field x="-2"/>
  </colFields>
  <colItems count="3">
    <i>
      <x/>
    </i>
    <i i="1">
      <x v="1"/>
    </i>
    <i i="2">
      <x v="2"/>
    </i>
  </colItems>
  <pageFields count="1">
    <pageField fld="0" hier="15" name="[Main_Data].[Restock Status].&amp;[Reorder]" cap="Reorder"/>
  </pageFields>
  <dataFields count="3">
    <dataField name=" Current Stock" fld="5" baseField="0" baseItem="0"/>
    <dataField name="Reorder Quantity" fld="6" baseField="0" baseItem="0"/>
    <dataField name="Lead Time (Days)" fld="7" baseField="0" baseItem="0"/>
  </dataFields>
  <pivotHierarchies count="4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_Data].[Restock Status].&amp;[Reor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Lead Time (Days)"/>
    <pivotHierarchy dragToData="1"/>
    <pivotHierarchy dragToData="1"/>
    <pivotHierarchy dragToData="1" caption=" Current Stock"/>
    <pivotHierarchy dragToData="1" caption="Reorder Quantity"/>
    <pivotHierarchy dragToData="1"/>
    <pivotHierarchy dragToData="1"/>
  </pivotHierarchies>
  <pivotTableStyleInfo name="PivotStyleLight14" showRowHeaders="1" showColHeaders="1" showRowStripes="0" showColStripes="0" showLastColumn="1"/>
  <rowHierarchiesUsage count="4">
    <rowHierarchyUsage hierarchyUsage="0"/>
    <rowHierarchyUsage hierarchyUsage="1"/>
    <rowHierarchyUsage hierarchyUsage="6"/>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2A412BB-E06B-488B-82F9-B0C3CADB3D79}" autoFormatId="16" applyNumberFormats="0" applyBorderFormats="0" applyFontFormats="0" applyPatternFormats="0" applyAlignmentFormats="0" applyWidthHeightFormats="0">
  <queryTableRefresh nextId="21" unboundColumnsRight="6">
    <queryTableFields count="16">
      <queryTableField id="1" name="SKU" tableColumnId="1"/>
      <queryTableField id="2" name="Product Category" tableColumnId="2"/>
      <queryTableField id="3" name="Current Stock" tableColumnId="3"/>
      <queryTableField id="5" name="Warehouse Location" tableColumnId="5"/>
      <queryTableField id="6" name="Reorder Quantity" tableColumnId="6"/>
      <queryTableField id="7" name="Lead Time Days" tableColumnId="7"/>
      <queryTableField id="8" name="Supplier" tableColumnId="8"/>
      <queryTableField id="9" name="Unit Cost" tableColumnId="9"/>
      <queryTableField id="10" name="Unit Selling Price" tableColumnId="10"/>
      <queryTableField id="11" name="Total Units Sold" tableColumnId="11"/>
      <queryTableField id="14" dataBound="0" tableColumnId="14"/>
      <queryTableField id="16" dataBound="0" tableColumnId="16"/>
      <queryTableField id="17" dataBound="0" tableColumnId="17"/>
      <queryTableField id="18" dataBound="0" tableColumnId="18"/>
      <queryTableField id="19" dataBound="0" tableColumnId="19"/>
      <queryTableField id="15" dataBound="0" tableColumnId="15"/>
    </queryTableFields>
    <queryTableDeletedFields count="1">
      <deletedField name="Total Revenue"/>
    </queryTableDeletedFields>
  </queryTableRefresh>
  <extLst>
    <ext xmlns:x15="http://schemas.microsoft.com/office/spreadsheetml/2010/11/main" uri="{883FBD77-0823-4a55-B5E3-86C4891E6966}">
      <x15:queryTable sourceDataName="Query - supply_chain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Location1" xr10:uid="{A7EE84F1-2289-43B9-8579-384BFF7497A5}" sourceName="[Main_Data].[Warehouse Location]">
  <pivotTables>
    <pivotTable tabId="14" name="Total_Category_Value"/>
    <pivotTable tabId="18" name="Product_Profitability"/>
    <pivotTable tabId="19" name="Reorder_Alert"/>
    <pivotTable tabId="17" name="Supplier_Lead_Time"/>
    <pivotTable tabId="16" name="Top_10_Products"/>
    <pivotTable tabId="20" name="Total_Inventory_Value KPI"/>
    <pivotTable tabId="20" name="Avg_Lead_Time_KPI"/>
    <pivotTable tabId="20" name="SKU_Count_KPI"/>
    <pivotTable tabId="20" name="Current_Stock_KPI"/>
    <pivotTable tabId="20" name="Restock_Status_KPI"/>
  </pivotTables>
  <data>
    <olap pivotCacheId="698207324">
      <levels count="2">
        <level uniqueName="[Main_Data].[Warehouse Location].[(All)]" sourceCaption="(All)" count="0"/>
        <level uniqueName="[Main_Data].[Warehouse Location].[Warehouse Location]" sourceCaption="Warehouse Location" count="5">
          <ranges>
            <range startItem="0">
              <i n="[Main_Data].[Warehouse Location].&amp;[Bangalore]" c="Bangalore"/>
              <i n="[Main_Data].[Warehouse Location].&amp;[Chennai]" c="Chennai"/>
              <i n="[Main_Data].[Warehouse Location].&amp;[Delhi]" c="Delhi"/>
              <i n="[Main_Data].[Warehouse Location].&amp;[Kolkata]" c="Kolkata"/>
              <i n="[Main_Data].[Warehouse Location].&amp;[Mumbai]" c="Mumbai"/>
            </range>
          </ranges>
        </level>
      </levels>
      <selections count="1">
        <selection n="[Main_Data].[Warehouse Loca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4FF79D9-5C7C-46AA-9DE6-030E0EEA2356}" sourceName="[Main_Data].[Product Category]">
  <pivotTables>
    <pivotTable tabId="14" name="Total_Category_Value"/>
    <pivotTable tabId="18" name="Product_Profitability"/>
    <pivotTable tabId="19" name="Reorder_Alert"/>
    <pivotTable tabId="17" name="Supplier_Lead_Time"/>
    <pivotTable tabId="16" name="Top_10_Products"/>
    <pivotTable tabId="20" name="Total_Inventory_Value KPI"/>
    <pivotTable tabId="20" name="Avg_Lead_Time_KPI"/>
    <pivotTable tabId="20" name="SKU_Count_KPI"/>
    <pivotTable tabId="20" name="Current_Stock_KPI"/>
    <pivotTable tabId="20" name="Restock_Status_KPI"/>
  </pivotTables>
  <data>
    <olap pivotCacheId="698207324">
      <levels count="2">
        <level uniqueName="[Main_Data].[Product Category].[(All)]" sourceCaption="(All)" count="0"/>
        <level uniqueName="[Main_Data].[Product Category].[Product Category]" sourceCaption="Product Category" count="3">
          <ranges>
            <range startItem="0">
              <i n="[Main_Data].[Product Category].&amp;[Cosmetics]" c="Cosmetics"/>
              <i n="[Main_Data].[Product Category].&amp;[Haircare]" c="Haircare"/>
              <i n="[Main_Data].[Product Category].&amp;[Skincare]" c="Skincare"/>
            </range>
          </ranges>
        </level>
      </levels>
      <selections count="1">
        <selection n="[Main_Data].[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1" xr10:uid="{DFBAFAD9-9B33-4FBA-BE55-2D433B522B57}" sourceName="[Main_Data].[Supplier]">
  <pivotTables>
    <pivotTable tabId="14" name="Total_Category_Value"/>
    <pivotTable tabId="18" name="Product_Profitability"/>
    <pivotTable tabId="19" name="Reorder_Alert"/>
    <pivotTable tabId="17" name="Supplier_Lead_Time"/>
    <pivotTable tabId="16" name="Top_10_Products"/>
    <pivotTable tabId="20" name="Total_Inventory_Value KPI"/>
    <pivotTable tabId="20" name="Avg_Lead_Time_KPI"/>
    <pivotTable tabId="20" name="SKU_Count_KPI"/>
    <pivotTable tabId="20" name="Current_Stock_KPI"/>
    <pivotTable tabId="20" name="Restock_Status_KPI"/>
  </pivotTables>
  <data>
    <olap pivotCacheId="698207324">
      <levels count="2">
        <level uniqueName="[Main_Data].[Supplier].[(All)]" sourceCaption="(All)" count="0"/>
        <level uniqueName="[Main_Data].[Supplier].[Supplier]" sourceCaption="Supplier" count="5">
          <ranges>
            <range startItem="0">
              <i n="[Main_Data].[Supplier].&amp;[Supplier 1]" c="Supplier 1"/>
              <i n="[Main_Data].[Supplier].&amp;[Supplier 2]" c="Supplier 2"/>
              <i n="[Main_Data].[Supplier].&amp;[Supplier 3]" c="Supplier 3"/>
              <i n="[Main_Data].[Supplier].&amp;[Supplier 4]" c="Supplier 4"/>
              <i n="[Main_Data].[Supplier].&amp;[Supplier 5]" c="Supplier 5"/>
            </range>
          </ranges>
        </level>
      </levels>
      <selections count="1">
        <selection n="[Main_Data].[Suppli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 Location 1" xr10:uid="{C4345699-41D3-4FE8-877B-9798C4D9B8AE}" cache="Slicer_Warehouse_Location1" caption="Warehouse Location" level="1" style="SlicerStyleLight5" lockedPosition="1" rowHeight="247650"/>
  <slicer name="Product Category" xr10:uid="{006B5D9F-B440-4AD5-AD33-A1FA136D20CF}" cache="Slicer_Product_Category" caption="Product Category" level="1" style="SlicerStyleLight5" lockedPosition="1" rowHeight="247650"/>
  <slicer name="Supplier 1" xr10:uid="{26F12640-D994-4F50-8E6C-7D848BEC4E8F}" cache="Slicer_Supplier1" caption="Supplier" level="1" style="SlicerStyleLight5" lockedPosition="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DEC019-9C81-4648-96BC-7D980AD3E4AD}" name="Main_Data" displayName="Main_Data" ref="A1:P102" tableType="queryTable" totalsRowCount="1">
  <autoFilter ref="A1:P101" xr:uid="{D4DEC019-9C81-4648-96BC-7D980AD3E4AD}"/>
  <tableColumns count="16">
    <tableColumn id="1" xr3:uid="{0C94417D-1F2D-4AD6-8677-0ED14593410D}" uniqueName="1" name="SKU" queryTableFieldId="1" dataDxfId="32" totalsRowDxfId="31"/>
    <tableColumn id="2" xr3:uid="{26AB38C8-1445-4836-BE62-A6B5DDCF9361}" uniqueName="2" name="Product Category" queryTableFieldId="2" dataDxfId="30" totalsRowDxfId="29"/>
    <tableColumn id="3" xr3:uid="{D4B13055-D6B3-44EC-8410-BDA520300E27}" uniqueName="3" name="Current Stock" queryTableFieldId="3"/>
    <tableColumn id="5" xr3:uid="{764A28CF-C1FC-4854-9742-A980C584306C}" uniqueName="5" name="Warehouse Location" queryTableFieldId="5" dataDxfId="28" totalsRowDxfId="27"/>
    <tableColumn id="6" xr3:uid="{DC5D1C52-D92F-4D56-8512-F1FF35BCBC5A}" uniqueName="6" name="Reorder Quantity" queryTableFieldId="6"/>
    <tableColumn id="7" xr3:uid="{ECED6FBE-6AC6-4D53-9394-6C856FC89603}" uniqueName="7" name="Lead Time Days" queryTableFieldId="7" dataDxfId="26" totalsRowDxfId="25"/>
    <tableColumn id="8" xr3:uid="{A7034EEA-95D9-4574-B448-54A4AEDD6BDA}" uniqueName="8" name="Supplier" queryTableFieldId="8" dataDxfId="24" totalsRowDxfId="23"/>
    <tableColumn id="9" xr3:uid="{5334E347-FC5E-408F-A89E-E2BBA27A3F78}" uniqueName="9" name="Unit Cost" queryTableFieldId="9" dataDxfId="22" totalsRowDxfId="21"/>
    <tableColumn id="10" xr3:uid="{3F35E7ED-8984-4F6E-8F14-10C065D259C6}" uniqueName="10" name="Unit Selling Price" queryTableFieldId="10" dataDxfId="20" totalsRowDxfId="19"/>
    <tableColumn id="11" xr3:uid="{992969D7-88E1-48F2-928B-1A24CCA7D741}" uniqueName="11" name="Total Units Sold" queryTableFieldId="11"/>
    <tableColumn id="14" xr3:uid="{62FCF3A0-0C21-4953-9055-CCD0D634B35D}" uniqueName="14" name="Total Inventory Value" queryTableFieldId="14" dataDxfId="18" totalsRowDxfId="17">
      <calculatedColumnFormula>Main_Data[[#This Row],[Current Stock]]*Main_Data[[#This Row],[Unit Cost]]</calculatedColumnFormula>
    </tableColumn>
    <tableColumn id="16" xr3:uid="{ED9B2130-2A89-40FB-BC1C-B3AE6C48FBE5}" uniqueName="16" name="Gross Profit Margin" queryTableFieldId="16" totalsRowDxfId="16" dataCellStyle="Percent" totalsRowCellStyle="Percent">
      <calculatedColumnFormula>(Main_Data[[#This Row],[Unit Selling Price]] - Main_Data[[#This Row],[Unit Cost]]) /Main_Data[[#This Row],[Unit Selling Price]]</calculatedColumnFormula>
    </tableColumn>
    <tableColumn id="17" xr3:uid="{82091F1C-6D7C-4F68-BD67-98305BED21C8}" uniqueName="17" name="Total Profit Generated" queryTableFieldId="17" dataDxfId="15" totalsRowDxfId="14" totalsRowCellStyle="Percent">
      <calculatedColumnFormula>(Main_Data[[#This Row],[Total Units Sold]] *Main_Data[[#This Row],[Unit Selling Price]])-Main_Data[[#This Row],[Total Units Sold]]*Main_Data[[#This Row],[Unit Cost]]</calculatedColumnFormula>
    </tableColumn>
    <tableColumn id="18" xr3:uid="{1B5CB118-A564-476C-B4EB-8BBE5ADD494B}" uniqueName="18" name="Inventory Turnover Ratio" queryTableFieldId="18" dataDxfId="13" totalsRowDxfId="12">
      <calculatedColumnFormula>Main_Data[[#This Row],[Total Units Sold]] / IF(Main_Data[[#This Row],[Current Stock]]=0, 1,Main_Data[[#This Row],[Current Stock]])</calculatedColumnFormula>
    </tableColumn>
    <tableColumn id="19" xr3:uid="{408A4C47-438E-4CD8-84CD-5C19C338B9A9}" uniqueName="19" name="Margin Check" queryTableFieldId="19" dataDxfId="11" totalsRowDxfId="10">
      <calculatedColumnFormula>IF(Main_Data[[#This Row],[Unit Cost]] &gt; Main_Data[[#This Row],[Unit Selling Price]], "LOSS MAKER", "Profitable")</calculatedColumnFormula>
    </tableColumn>
    <tableColumn id="15" xr3:uid="{A30AD96D-367C-4317-9FC0-6DAB7FF6F7DE}" uniqueName="15" name="Restock Status" queryTableFieldId="15" dataDxfId="9" totalsRowDxfId="8">
      <calculatedColumnFormula>IF(Main_Data[[#This Row],[Current Stock]] &lt;= Main_Data[[#This Row],[Reorder Quantity]], "Reorder", "No")</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0D7B8-012B-4C37-8225-869C673A9575}">
  <dimension ref="A1:X39"/>
  <sheetViews>
    <sheetView showGridLines="0" showRowColHeaders="0" tabSelected="1" zoomScaleNormal="100" workbookViewId="0">
      <pane ySplit="1" topLeftCell="A5" activePane="bottomLeft" state="frozen"/>
      <selection pane="bottomLeft" activeCell="I27" sqref="I27"/>
      <extLst>
        <ext xmlns:xlsdti="http://schemas.microsoft.com/office/spreadsheetml/2023/showDataTypeIcons" uri="{77bfe23e-c014-4d31-8a63-9c772dbf06b6}">
          <xlsdti:showDataTypeIcons visible="0"/>
        </ext>
      </extLst>
    </sheetView>
  </sheetViews>
  <sheetFormatPr defaultRowHeight="14.4" x14ac:dyDescent="0.3"/>
  <cols>
    <col min="24" max="24" width="4.77734375" customWidth="1"/>
  </cols>
  <sheetData>
    <row r="1" spans="1:24" ht="36.6" customHeight="1" x14ac:dyDescent="0.3">
      <c r="A1" s="26" t="s">
        <v>154</v>
      </c>
      <c r="B1" s="26"/>
      <c r="C1" s="26"/>
      <c r="D1" s="26"/>
      <c r="E1" s="26"/>
      <c r="F1" s="26"/>
      <c r="G1" s="26"/>
      <c r="H1" s="26"/>
      <c r="I1" s="26"/>
      <c r="J1" s="26"/>
      <c r="K1" s="26"/>
      <c r="L1" s="26"/>
      <c r="M1" s="26"/>
      <c r="N1" s="26"/>
      <c r="O1" s="26"/>
      <c r="P1" s="26"/>
      <c r="Q1" s="26"/>
      <c r="R1" s="26"/>
      <c r="S1" s="26"/>
      <c r="T1" s="26"/>
      <c r="U1" s="26"/>
      <c r="V1" s="26"/>
      <c r="W1" s="26"/>
      <c r="X1" s="26"/>
    </row>
    <row r="2" spans="1:24" ht="0.6" hidden="1" customHeight="1" x14ac:dyDescent="0.3">
      <c r="A2" s="24"/>
      <c r="B2" s="23"/>
      <c r="C2" s="23"/>
      <c r="D2" s="23"/>
      <c r="E2" s="23"/>
      <c r="F2" s="23"/>
      <c r="G2" s="23"/>
      <c r="H2" s="23"/>
      <c r="I2" s="23"/>
      <c r="J2" s="23"/>
      <c r="K2" s="23"/>
      <c r="L2" s="23"/>
      <c r="M2" s="23"/>
      <c r="N2" s="23"/>
      <c r="O2" s="23"/>
      <c r="P2" s="23"/>
      <c r="Q2" s="23"/>
      <c r="R2" s="23"/>
      <c r="S2" s="23"/>
      <c r="T2" s="23"/>
      <c r="U2" s="23"/>
      <c r="V2" s="23"/>
      <c r="W2" s="23"/>
      <c r="X2" s="23"/>
    </row>
    <row r="3" spans="1:24" ht="14.4" hidden="1" customHeight="1" x14ac:dyDescent="0.3">
      <c r="A3" s="23"/>
      <c r="B3" s="23"/>
      <c r="C3" s="23"/>
      <c r="D3" s="23"/>
      <c r="E3" s="23"/>
      <c r="F3" s="23"/>
      <c r="G3" s="23"/>
      <c r="H3" s="23"/>
      <c r="I3" s="23"/>
      <c r="J3" s="23"/>
      <c r="K3" s="23"/>
      <c r="L3" s="23"/>
      <c r="M3" s="23"/>
      <c r="N3" s="23"/>
      <c r="O3" s="23"/>
      <c r="P3" s="23"/>
      <c r="Q3" s="23"/>
      <c r="R3" s="23"/>
      <c r="S3" s="23"/>
      <c r="T3" s="23"/>
      <c r="U3" s="23"/>
      <c r="V3" s="23"/>
      <c r="W3" s="23"/>
      <c r="X3" s="23"/>
    </row>
    <row r="4" spans="1:24" ht="1.8" hidden="1" customHeight="1" x14ac:dyDescent="0.3">
      <c r="A4" s="23"/>
      <c r="B4" s="23"/>
      <c r="C4" s="23"/>
      <c r="D4" s="23"/>
      <c r="E4" s="23"/>
      <c r="F4" s="23"/>
      <c r="G4" s="23"/>
      <c r="H4" s="23"/>
      <c r="I4" s="23"/>
      <c r="J4" s="23"/>
      <c r="K4" s="23"/>
      <c r="L4" s="23"/>
      <c r="M4" s="23"/>
      <c r="N4" s="23"/>
      <c r="O4" s="23"/>
      <c r="P4" s="23"/>
      <c r="Q4" s="23"/>
      <c r="R4" s="23"/>
      <c r="S4" s="23"/>
      <c r="T4" s="23"/>
      <c r="U4" s="23"/>
      <c r="V4" s="23"/>
      <c r="W4" s="23"/>
      <c r="X4" s="23"/>
    </row>
    <row r="5" spans="1:24" x14ac:dyDescent="0.3">
      <c r="A5" s="25"/>
      <c r="B5" s="25"/>
      <c r="C5" s="25"/>
      <c r="D5" s="25"/>
      <c r="E5" s="25"/>
      <c r="F5" s="25"/>
      <c r="G5" s="25"/>
      <c r="H5" s="25"/>
      <c r="I5" s="25"/>
      <c r="J5" s="25"/>
      <c r="K5" s="25"/>
      <c r="L5" s="25"/>
      <c r="M5" s="25"/>
      <c r="N5" s="25"/>
      <c r="O5" s="25"/>
      <c r="P5" s="25"/>
      <c r="Q5" s="25"/>
      <c r="R5" s="25"/>
      <c r="S5" s="25"/>
      <c r="T5" s="25"/>
      <c r="U5" s="25"/>
      <c r="V5" s="25"/>
      <c r="W5" s="25"/>
      <c r="X5" s="25"/>
    </row>
    <row r="6" spans="1:24" x14ac:dyDescent="0.3">
      <c r="A6" s="25"/>
      <c r="B6" s="25"/>
      <c r="C6" s="25"/>
      <c r="D6" s="25"/>
      <c r="E6" s="25"/>
      <c r="F6" s="25"/>
      <c r="G6" s="25"/>
      <c r="H6" s="25"/>
      <c r="I6" s="25"/>
      <c r="J6" s="25"/>
      <c r="K6" s="25"/>
      <c r="L6" s="25"/>
      <c r="M6" s="25"/>
      <c r="N6" s="25"/>
      <c r="O6" s="25"/>
      <c r="P6" s="25"/>
      <c r="Q6" s="25"/>
      <c r="R6" s="25"/>
      <c r="S6" s="25"/>
      <c r="T6" s="25"/>
      <c r="U6" s="25"/>
      <c r="V6" s="25"/>
      <c r="W6" s="25"/>
      <c r="X6" s="25"/>
    </row>
    <row r="7" spans="1:24" x14ac:dyDescent="0.3">
      <c r="A7" s="25"/>
      <c r="B7" s="25"/>
      <c r="C7" s="25"/>
      <c r="D7" s="25"/>
      <c r="E7" s="25"/>
      <c r="F7" s="25"/>
      <c r="G7" s="25"/>
      <c r="H7" s="25"/>
      <c r="I7" s="25"/>
      <c r="J7" s="25"/>
      <c r="K7" s="25"/>
      <c r="L7" s="25"/>
      <c r="M7" s="25"/>
      <c r="N7" s="25"/>
      <c r="O7" s="25"/>
      <c r="P7" s="25"/>
      <c r="Q7" s="25"/>
      <c r="R7" s="25"/>
      <c r="S7" s="25"/>
      <c r="T7" s="25"/>
      <c r="U7" s="25"/>
      <c r="V7" s="25"/>
      <c r="W7" s="25"/>
      <c r="X7" s="25"/>
    </row>
    <row r="8" spans="1:24" x14ac:dyDescent="0.3">
      <c r="A8" s="25"/>
      <c r="B8" s="25"/>
      <c r="C8" s="25"/>
      <c r="D8" s="25"/>
      <c r="E8" s="25"/>
      <c r="F8" s="25"/>
      <c r="G8" s="25"/>
      <c r="H8" s="25"/>
      <c r="I8" s="25"/>
      <c r="J8" s="25"/>
      <c r="K8" s="25"/>
      <c r="L8" s="25"/>
      <c r="M8" s="25"/>
      <c r="N8" s="25"/>
      <c r="O8" s="25"/>
      <c r="P8" s="25"/>
      <c r="Q8" s="25"/>
      <c r="R8" s="25"/>
      <c r="S8" s="25"/>
      <c r="T8" s="25"/>
      <c r="U8" s="25"/>
      <c r="V8" s="25"/>
      <c r="W8" s="25"/>
      <c r="X8" s="25"/>
    </row>
    <row r="9" spans="1:24" x14ac:dyDescent="0.3">
      <c r="A9" s="25"/>
      <c r="B9" s="25"/>
      <c r="C9" s="25"/>
      <c r="D9" s="25"/>
      <c r="E9" s="25"/>
      <c r="F9" s="25"/>
      <c r="G9" s="25"/>
      <c r="H9" s="25"/>
      <c r="I9" s="25"/>
      <c r="J9" s="25"/>
      <c r="K9" s="25"/>
      <c r="L9" s="25"/>
      <c r="M9" s="25"/>
      <c r="N9" s="25"/>
      <c r="O9" s="25"/>
      <c r="P9" s="25"/>
      <c r="Q9" s="25"/>
      <c r="R9" s="25"/>
      <c r="S9" s="25"/>
      <c r="T9" s="25"/>
      <c r="U9" s="25"/>
      <c r="V9" s="25"/>
      <c r="W9" s="25"/>
      <c r="X9" s="25"/>
    </row>
    <row r="10" spans="1:24" x14ac:dyDescent="0.3">
      <c r="A10" s="25"/>
      <c r="B10" s="25"/>
      <c r="C10" s="25"/>
      <c r="D10" s="25"/>
      <c r="E10" s="25"/>
      <c r="F10" s="25"/>
      <c r="G10" s="25"/>
      <c r="H10" s="25"/>
      <c r="I10" s="25"/>
      <c r="J10" s="25"/>
      <c r="K10" s="25"/>
      <c r="L10" s="25"/>
      <c r="M10" s="25"/>
      <c r="N10" s="25"/>
      <c r="O10" s="25"/>
      <c r="P10" s="25"/>
      <c r="Q10" s="25"/>
      <c r="R10" s="25"/>
      <c r="S10" s="25"/>
      <c r="T10" s="25"/>
      <c r="U10" s="25"/>
      <c r="V10" s="25"/>
      <c r="W10" s="25"/>
      <c r="X10" s="25"/>
    </row>
    <row r="11" spans="1:24" x14ac:dyDescent="0.3">
      <c r="A11" s="25"/>
      <c r="B11" s="25"/>
      <c r="C11" s="25"/>
      <c r="D11" s="25"/>
      <c r="E11" s="25"/>
      <c r="F11" s="25"/>
      <c r="G11" s="25"/>
      <c r="H11" s="25"/>
      <c r="I11" s="25"/>
      <c r="J11" s="25"/>
      <c r="K11" s="25"/>
      <c r="L11" s="25"/>
      <c r="M11" s="25"/>
      <c r="N11" s="25"/>
      <c r="O11" s="25"/>
      <c r="P11" s="25"/>
      <c r="Q11" s="25"/>
      <c r="R11" s="25"/>
      <c r="S11" s="25"/>
      <c r="T11" s="25"/>
      <c r="U11" s="25"/>
      <c r="V11" s="25"/>
      <c r="W11" s="25"/>
      <c r="X11" s="25"/>
    </row>
    <row r="12" spans="1:24" x14ac:dyDescent="0.3">
      <c r="A12" s="25"/>
      <c r="B12" s="25"/>
      <c r="C12" s="25"/>
      <c r="D12" s="25"/>
      <c r="E12" s="25"/>
      <c r="F12" s="25"/>
      <c r="G12" s="25"/>
      <c r="H12" s="25"/>
      <c r="I12" s="25"/>
      <c r="J12" s="25"/>
      <c r="K12" s="25"/>
      <c r="L12" s="25"/>
      <c r="M12" s="25"/>
      <c r="N12" s="25"/>
      <c r="O12" s="25"/>
      <c r="P12" s="25"/>
      <c r="Q12" s="25"/>
      <c r="R12" s="25"/>
      <c r="S12" s="25"/>
      <c r="T12" s="25"/>
      <c r="U12" s="25"/>
      <c r="V12" s="25"/>
      <c r="W12" s="25"/>
      <c r="X12" s="25"/>
    </row>
    <row r="13" spans="1:24" x14ac:dyDescent="0.3">
      <c r="A13" s="25"/>
      <c r="B13" s="25"/>
      <c r="C13" s="25"/>
      <c r="D13" s="25"/>
      <c r="E13" s="25"/>
      <c r="F13" s="25"/>
      <c r="G13" s="25"/>
      <c r="H13" s="25"/>
      <c r="I13" s="25"/>
      <c r="J13" s="25"/>
      <c r="K13" s="25"/>
      <c r="L13" s="25"/>
      <c r="M13" s="25"/>
      <c r="N13" s="25"/>
      <c r="O13" s="25"/>
      <c r="P13" s="25"/>
      <c r="Q13" s="25"/>
      <c r="R13" s="25"/>
      <c r="S13" s="25"/>
      <c r="T13" s="25"/>
      <c r="U13" s="25"/>
      <c r="V13" s="25"/>
      <c r="W13" s="25"/>
      <c r="X13" s="25"/>
    </row>
    <row r="14" spans="1:24" x14ac:dyDescent="0.3">
      <c r="A14" s="25"/>
      <c r="B14" s="25"/>
      <c r="C14" s="25"/>
      <c r="D14" s="25"/>
      <c r="E14" s="25"/>
      <c r="F14" s="25"/>
      <c r="G14" s="25"/>
      <c r="H14" s="25"/>
      <c r="I14" s="25"/>
      <c r="J14" s="25"/>
      <c r="K14" s="25"/>
      <c r="L14" s="25"/>
      <c r="M14" s="25"/>
      <c r="N14" s="25"/>
      <c r="O14" s="25"/>
      <c r="P14" s="25"/>
      <c r="Q14" s="25"/>
      <c r="R14" s="25"/>
      <c r="S14" s="25"/>
      <c r="T14" s="25"/>
      <c r="U14" s="25"/>
      <c r="V14" s="25"/>
      <c r="W14" s="25"/>
      <c r="X14" s="25"/>
    </row>
    <row r="15" spans="1:24" x14ac:dyDescent="0.3">
      <c r="A15" s="25"/>
      <c r="B15" s="25"/>
      <c r="C15" s="25"/>
      <c r="D15" s="25"/>
      <c r="E15" s="25"/>
      <c r="F15" s="25"/>
      <c r="G15" s="25"/>
      <c r="H15" s="25"/>
      <c r="I15" s="25"/>
      <c r="J15" s="25"/>
      <c r="K15" s="25"/>
      <c r="L15" s="25"/>
      <c r="M15" s="25"/>
      <c r="N15" s="25"/>
      <c r="O15" s="25"/>
      <c r="P15" s="25"/>
      <c r="Q15" s="25"/>
      <c r="R15" s="25"/>
      <c r="S15" s="25"/>
      <c r="T15" s="25"/>
      <c r="U15" s="25"/>
      <c r="V15" s="25"/>
      <c r="W15" s="25"/>
      <c r="X15" s="25"/>
    </row>
    <row r="16" spans="1:24" x14ac:dyDescent="0.3">
      <c r="A16" s="25"/>
      <c r="B16" s="25"/>
      <c r="C16" s="25"/>
      <c r="D16" s="25"/>
      <c r="E16" s="25"/>
      <c r="F16" s="25"/>
      <c r="G16" s="25"/>
      <c r="H16" s="25"/>
      <c r="I16" s="25"/>
      <c r="J16" s="25"/>
      <c r="K16" s="25"/>
      <c r="L16" s="25"/>
      <c r="M16" s="25"/>
      <c r="N16" s="25"/>
      <c r="O16" s="25"/>
      <c r="P16" s="25"/>
      <c r="Q16" s="25"/>
      <c r="R16" s="25"/>
      <c r="S16" s="25"/>
      <c r="T16" s="25"/>
      <c r="U16" s="25"/>
      <c r="V16" s="25"/>
      <c r="W16" s="25"/>
      <c r="X16" s="25"/>
    </row>
    <row r="17" spans="1:24" x14ac:dyDescent="0.3">
      <c r="A17" s="25"/>
      <c r="B17" s="25"/>
      <c r="C17" s="25"/>
      <c r="D17" s="25"/>
      <c r="E17" s="25"/>
      <c r="F17" s="25"/>
      <c r="G17" s="25"/>
      <c r="H17" s="25"/>
      <c r="I17" s="25"/>
      <c r="J17" s="25"/>
      <c r="K17" s="25"/>
      <c r="L17" s="25"/>
      <c r="M17" s="25"/>
      <c r="N17" s="25"/>
      <c r="O17" s="25"/>
      <c r="P17" s="25"/>
      <c r="Q17" s="25"/>
      <c r="R17" s="25"/>
      <c r="S17" s="25"/>
      <c r="T17" s="25"/>
      <c r="U17" s="25"/>
      <c r="V17" s="25"/>
      <c r="W17" s="25"/>
      <c r="X17" s="25"/>
    </row>
    <row r="18" spans="1:24" x14ac:dyDescent="0.3">
      <c r="A18" s="25"/>
      <c r="B18" s="25"/>
      <c r="C18" s="25"/>
      <c r="D18" s="25"/>
      <c r="E18" s="25"/>
      <c r="F18" s="25"/>
      <c r="G18" s="25"/>
      <c r="H18" s="25"/>
      <c r="I18" s="25"/>
      <c r="J18" s="25"/>
      <c r="K18" s="25"/>
      <c r="L18" s="25"/>
      <c r="M18" s="25"/>
      <c r="N18" s="25"/>
      <c r="O18" s="25"/>
      <c r="P18" s="25"/>
      <c r="Q18" s="25"/>
      <c r="R18" s="25"/>
      <c r="S18" s="25"/>
      <c r="T18" s="25"/>
      <c r="U18" s="25"/>
      <c r="V18" s="25"/>
      <c r="W18" s="25"/>
      <c r="X18" s="25"/>
    </row>
    <row r="19" spans="1:24" x14ac:dyDescent="0.3">
      <c r="A19" s="25"/>
      <c r="B19" s="25"/>
      <c r="C19" s="25"/>
      <c r="D19" s="25"/>
      <c r="E19" s="25"/>
      <c r="F19" s="25"/>
      <c r="G19" s="25"/>
      <c r="H19" s="25"/>
      <c r="I19" s="25"/>
      <c r="J19" s="25"/>
      <c r="K19" s="25"/>
      <c r="L19" s="25"/>
      <c r="M19" s="25"/>
      <c r="N19" s="25"/>
      <c r="O19" s="25"/>
      <c r="P19" s="25"/>
      <c r="Q19" s="25"/>
      <c r="R19" s="25"/>
      <c r="S19" s="25"/>
      <c r="T19" s="25"/>
      <c r="U19" s="25"/>
      <c r="V19" s="25"/>
      <c r="W19" s="25"/>
      <c r="X19" s="25"/>
    </row>
    <row r="20" spans="1:24" x14ac:dyDescent="0.3">
      <c r="A20" s="25"/>
      <c r="B20" s="25"/>
      <c r="C20" s="25"/>
      <c r="D20" s="25"/>
      <c r="E20" s="25"/>
      <c r="F20" s="25"/>
      <c r="G20" s="25"/>
      <c r="H20" s="25"/>
      <c r="I20" s="25"/>
      <c r="J20" s="25"/>
      <c r="K20" s="25"/>
      <c r="L20" s="25"/>
      <c r="M20" s="25"/>
      <c r="N20" s="25"/>
      <c r="O20" s="25"/>
      <c r="P20" s="25"/>
      <c r="Q20" s="25"/>
      <c r="R20" s="25"/>
      <c r="S20" s="25"/>
      <c r="T20" s="25"/>
      <c r="U20" s="25"/>
      <c r="V20" s="25"/>
      <c r="W20" s="25"/>
      <c r="X20" s="25"/>
    </row>
    <row r="21" spans="1:24" x14ac:dyDescent="0.3">
      <c r="A21" s="25"/>
      <c r="B21" s="25"/>
      <c r="C21" s="25"/>
      <c r="D21" s="25"/>
      <c r="E21" s="25"/>
      <c r="F21" s="25"/>
      <c r="G21" s="25"/>
      <c r="H21" s="25"/>
      <c r="I21" s="25"/>
      <c r="J21" s="25"/>
      <c r="K21" s="25"/>
      <c r="L21" s="25"/>
      <c r="M21" s="25"/>
      <c r="N21" s="25"/>
      <c r="O21" s="25"/>
      <c r="P21" s="25"/>
      <c r="Q21" s="25"/>
      <c r="R21" s="25"/>
      <c r="S21" s="25"/>
      <c r="T21" s="25"/>
      <c r="U21" s="25"/>
      <c r="V21" s="25"/>
      <c r="W21" s="25"/>
      <c r="X21" s="25"/>
    </row>
    <row r="22" spans="1:24" x14ac:dyDescent="0.3">
      <c r="A22" s="25"/>
      <c r="B22" s="25"/>
      <c r="C22" s="25"/>
      <c r="D22" s="25"/>
      <c r="E22" s="25"/>
      <c r="F22" s="25"/>
      <c r="G22" s="25"/>
      <c r="H22" s="25"/>
      <c r="I22" s="25"/>
      <c r="J22" s="25"/>
      <c r="K22" s="25"/>
      <c r="L22" s="25"/>
      <c r="M22" s="25"/>
      <c r="N22" s="25"/>
      <c r="O22" s="25"/>
      <c r="P22" s="25"/>
      <c r="Q22" s="25"/>
      <c r="R22" s="25"/>
      <c r="S22" s="25"/>
      <c r="T22" s="25"/>
      <c r="U22" s="25"/>
      <c r="V22" s="25"/>
      <c r="W22" s="25"/>
      <c r="X22" s="25"/>
    </row>
    <row r="23" spans="1:24" x14ac:dyDescent="0.3">
      <c r="A23" s="25"/>
      <c r="B23" s="25"/>
      <c r="C23" s="25"/>
      <c r="D23" s="25"/>
      <c r="E23" s="25"/>
      <c r="F23" s="25"/>
      <c r="G23" s="25"/>
      <c r="H23" s="25"/>
      <c r="I23" s="25"/>
      <c r="J23" s="25"/>
      <c r="K23" s="25"/>
      <c r="L23" s="25"/>
      <c r="M23" s="25"/>
      <c r="N23" s="25"/>
      <c r="O23" s="25"/>
      <c r="P23" s="25"/>
      <c r="Q23" s="25"/>
      <c r="R23" s="25"/>
      <c r="S23" s="25"/>
      <c r="T23" s="25"/>
      <c r="U23" s="25"/>
      <c r="V23" s="25"/>
      <c r="W23" s="25"/>
      <c r="X23" s="25"/>
    </row>
    <row r="24" spans="1:24" x14ac:dyDescent="0.3">
      <c r="A24" s="25"/>
      <c r="B24" s="25"/>
      <c r="C24" s="25"/>
      <c r="D24" s="25"/>
      <c r="E24" s="25"/>
      <c r="F24" s="25"/>
      <c r="G24" s="25"/>
      <c r="H24" s="25"/>
      <c r="I24" s="25"/>
      <c r="J24" s="25"/>
      <c r="K24" s="25"/>
      <c r="L24" s="25"/>
      <c r="M24" s="25"/>
      <c r="N24" s="25"/>
      <c r="O24" s="25"/>
      <c r="P24" s="25"/>
      <c r="Q24" s="25"/>
      <c r="R24" s="25"/>
      <c r="S24" s="25"/>
      <c r="T24" s="25"/>
      <c r="U24" s="25"/>
      <c r="V24" s="25"/>
      <c r="W24" s="25"/>
      <c r="X24" s="25"/>
    </row>
    <row r="25" spans="1:24" x14ac:dyDescent="0.3">
      <c r="A25" s="25"/>
      <c r="B25" s="25"/>
      <c r="C25" s="25"/>
      <c r="D25" s="25"/>
      <c r="E25" s="25"/>
      <c r="F25" s="25"/>
      <c r="G25" s="25"/>
      <c r="H25" s="25"/>
      <c r="I25" s="25"/>
      <c r="J25" s="25"/>
      <c r="K25" s="25"/>
      <c r="L25" s="25"/>
      <c r="M25" s="25"/>
      <c r="N25" s="25"/>
      <c r="O25" s="25"/>
      <c r="P25" s="25"/>
      <c r="Q25" s="25"/>
      <c r="R25" s="25"/>
      <c r="S25" s="25"/>
      <c r="T25" s="25"/>
      <c r="U25" s="25"/>
      <c r="V25" s="25"/>
      <c r="W25" s="25"/>
      <c r="X25" s="25"/>
    </row>
    <row r="26" spans="1:24" x14ac:dyDescent="0.3">
      <c r="A26" s="25"/>
      <c r="B26" s="25"/>
      <c r="C26" s="25"/>
      <c r="D26" s="25"/>
      <c r="E26" s="25"/>
      <c r="F26" s="25"/>
      <c r="G26" s="25"/>
      <c r="H26" s="25"/>
      <c r="I26" s="25"/>
      <c r="J26" s="25"/>
      <c r="K26" s="25"/>
      <c r="L26" s="25"/>
      <c r="M26" s="25"/>
      <c r="N26" s="25"/>
      <c r="O26" s="25"/>
      <c r="P26" s="25"/>
      <c r="Q26" s="25"/>
      <c r="R26" s="25"/>
      <c r="S26" s="25"/>
      <c r="T26" s="25"/>
      <c r="U26" s="25"/>
      <c r="V26" s="25"/>
      <c r="W26" s="25"/>
      <c r="X26" s="25"/>
    </row>
    <row r="27" spans="1:24" x14ac:dyDescent="0.3">
      <c r="A27" s="25"/>
      <c r="B27" s="25"/>
      <c r="C27" s="25"/>
      <c r="D27" s="25"/>
      <c r="E27" s="25"/>
      <c r="F27" s="25"/>
      <c r="G27" s="25"/>
      <c r="H27" s="25"/>
      <c r="I27" s="25"/>
      <c r="J27" s="25"/>
      <c r="K27" s="25"/>
      <c r="L27" s="25"/>
      <c r="M27" s="25"/>
      <c r="N27" s="25"/>
      <c r="O27" s="25"/>
      <c r="P27" s="25"/>
      <c r="Q27" s="25"/>
      <c r="R27" s="25"/>
      <c r="S27" s="25"/>
      <c r="T27" s="25"/>
      <c r="U27" s="25"/>
      <c r="V27" s="25"/>
      <c r="W27" s="25"/>
      <c r="X27" s="25"/>
    </row>
    <row r="28" spans="1:24" x14ac:dyDescent="0.3">
      <c r="A28" s="25"/>
      <c r="B28" s="25"/>
      <c r="C28" s="25"/>
      <c r="D28" s="25"/>
      <c r="E28" s="25"/>
      <c r="F28" s="25"/>
      <c r="G28" s="25"/>
      <c r="H28" s="25"/>
      <c r="I28" s="25"/>
      <c r="J28" s="25"/>
      <c r="K28" s="25"/>
      <c r="L28" s="25"/>
      <c r="M28" s="25"/>
      <c r="N28" s="25"/>
      <c r="O28" s="25"/>
      <c r="P28" s="25"/>
      <c r="Q28" s="25"/>
      <c r="R28" s="25"/>
      <c r="S28" s="25"/>
      <c r="T28" s="25"/>
      <c r="U28" s="25"/>
      <c r="V28" s="25"/>
      <c r="W28" s="25"/>
      <c r="X28" s="25"/>
    </row>
    <row r="29" spans="1:24" x14ac:dyDescent="0.3">
      <c r="A29" s="25"/>
      <c r="B29" s="25"/>
      <c r="C29" s="25"/>
      <c r="D29" s="25"/>
      <c r="E29" s="25"/>
      <c r="F29" s="25"/>
      <c r="G29" s="25"/>
      <c r="H29" s="25"/>
      <c r="I29" s="25"/>
      <c r="J29" s="25"/>
      <c r="K29" s="25"/>
      <c r="L29" s="25"/>
      <c r="M29" s="25"/>
      <c r="N29" s="25"/>
      <c r="O29" s="25"/>
      <c r="P29" s="25"/>
      <c r="Q29" s="25"/>
      <c r="R29" s="25"/>
      <c r="S29" s="25"/>
      <c r="T29" s="25"/>
      <c r="U29" s="25"/>
      <c r="V29" s="25"/>
      <c r="W29" s="25"/>
      <c r="X29" s="25"/>
    </row>
    <row r="30" spans="1:24" x14ac:dyDescent="0.3">
      <c r="A30" s="25"/>
      <c r="B30" s="25"/>
      <c r="C30" s="25"/>
      <c r="D30" s="25"/>
      <c r="E30" s="25"/>
      <c r="F30" s="25"/>
      <c r="G30" s="25"/>
      <c r="H30" s="25"/>
      <c r="I30" s="25"/>
      <c r="J30" s="25"/>
      <c r="K30" s="25"/>
      <c r="L30" s="25"/>
      <c r="M30" s="25"/>
      <c r="N30" s="25"/>
      <c r="O30" s="25"/>
      <c r="P30" s="25"/>
      <c r="Q30" s="25"/>
      <c r="R30" s="25"/>
      <c r="S30" s="25"/>
      <c r="T30" s="25"/>
      <c r="U30" s="25"/>
      <c r="V30" s="25"/>
      <c r="W30" s="25"/>
      <c r="X30" s="25"/>
    </row>
    <row r="31" spans="1:24" x14ac:dyDescent="0.3">
      <c r="A31" s="25"/>
      <c r="B31" s="25"/>
      <c r="C31" s="25"/>
      <c r="D31" s="25"/>
      <c r="E31" s="25"/>
      <c r="F31" s="25"/>
      <c r="G31" s="25"/>
      <c r="H31" s="25"/>
      <c r="I31" s="25"/>
      <c r="J31" s="25"/>
      <c r="K31" s="25"/>
      <c r="L31" s="25"/>
      <c r="M31" s="25"/>
      <c r="N31" s="25"/>
      <c r="O31" s="25"/>
      <c r="P31" s="25"/>
      <c r="Q31" s="25"/>
      <c r="R31" s="25"/>
      <c r="S31" s="25"/>
      <c r="T31" s="25"/>
      <c r="U31" s="25"/>
      <c r="V31" s="25"/>
      <c r="W31" s="25"/>
      <c r="X31" s="25"/>
    </row>
    <row r="32" spans="1:24" x14ac:dyDescent="0.3">
      <c r="A32" s="25"/>
      <c r="B32" s="25"/>
      <c r="C32" s="25"/>
      <c r="D32" s="25"/>
      <c r="E32" s="25"/>
      <c r="F32" s="25"/>
      <c r="G32" s="25"/>
      <c r="H32" s="25"/>
      <c r="I32" s="25"/>
      <c r="J32" s="25"/>
      <c r="K32" s="25"/>
      <c r="L32" s="25"/>
      <c r="M32" s="25"/>
      <c r="N32" s="25"/>
      <c r="O32" s="25"/>
      <c r="P32" s="25"/>
      <c r="Q32" s="25"/>
      <c r="R32" s="25"/>
      <c r="S32" s="25"/>
      <c r="T32" s="25"/>
      <c r="U32" s="25"/>
      <c r="V32" s="25"/>
      <c r="W32" s="25"/>
      <c r="X32" s="25"/>
    </row>
    <row r="33" spans="1:24" x14ac:dyDescent="0.3">
      <c r="A33" s="25"/>
      <c r="B33" s="25"/>
      <c r="C33" s="25"/>
      <c r="D33" s="25"/>
      <c r="E33" s="25"/>
      <c r="F33" s="25"/>
      <c r="G33" s="25"/>
      <c r="H33" s="25"/>
      <c r="I33" s="25"/>
      <c r="J33" s="25"/>
      <c r="K33" s="25"/>
      <c r="L33" s="25"/>
      <c r="M33" s="25"/>
      <c r="N33" s="25"/>
      <c r="O33" s="25"/>
      <c r="P33" s="25"/>
      <c r="Q33" s="25"/>
      <c r="R33" s="25"/>
      <c r="S33" s="25"/>
      <c r="T33" s="25"/>
      <c r="U33" s="25"/>
      <c r="V33" s="25"/>
      <c r="W33" s="25"/>
      <c r="X33" s="25"/>
    </row>
    <row r="34" spans="1:24" x14ac:dyDescent="0.3">
      <c r="A34" s="25"/>
      <c r="B34" s="25"/>
      <c r="C34" s="25"/>
      <c r="D34" s="25"/>
      <c r="E34" s="25"/>
      <c r="F34" s="25"/>
      <c r="G34" s="25"/>
      <c r="H34" s="25"/>
      <c r="I34" s="25"/>
      <c r="J34" s="25"/>
      <c r="K34" s="25"/>
      <c r="L34" s="25"/>
      <c r="M34" s="25"/>
      <c r="N34" s="25"/>
      <c r="O34" s="25"/>
      <c r="P34" s="25"/>
      <c r="Q34" s="25"/>
      <c r="R34" s="25"/>
      <c r="S34" s="25"/>
      <c r="T34" s="25"/>
      <c r="U34" s="25"/>
      <c r="V34" s="25"/>
      <c r="W34" s="25"/>
      <c r="X34" s="25"/>
    </row>
    <row r="35" spans="1:24" x14ac:dyDescent="0.3">
      <c r="A35" s="25"/>
      <c r="B35" s="25"/>
      <c r="C35" s="25"/>
      <c r="D35" s="25"/>
      <c r="E35" s="25"/>
      <c r="F35" s="25"/>
      <c r="G35" s="25"/>
      <c r="H35" s="25"/>
      <c r="I35" s="25"/>
      <c r="J35" s="25"/>
      <c r="K35" s="25"/>
      <c r="L35" s="25"/>
      <c r="M35" s="25"/>
      <c r="N35" s="25"/>
      <c r="O35" s="25"/>
      <c r="P35" s="25"/>
      <c r="Q35" s="25"/>
      <c r="R35" s="25"/>
      <c r="S35" s="25"/>
      <c r="T35" s="25"/>
      <c r="U35" s="25"/>
      <c r="V35" s="25"/>
      <c r="W35" s="25"/>
      <c r="X35" s="25"/>
    </row>
    <row r="36" spans="1:24" x14ac:dyDescent="0.3">
      <c r="A36" s="25"/>
      <c r="B36" s="25"/>
      <c r="C36" s="25"/>
      <c r="D36" s="25"/>
      <c r="E36" s="25"/>
      <c r="F36" s="25"/>
      <c r="G36" s="25"/>
      <c r="H36" s="25"/>
      <c r="I36" s="25"/>
      <c r="J36" s="25"/>
      <c r="K36" s="25"/>
      <c r="L36" s="25"/>
      <c r="M36" s="25"/>
      <c r="N36" s="25"/>
      <c r="O36" s="25"/>
      <c r="P36" s="25"/>
      <c r="Q36" s="25"/>
      <c r="R36" s="25"/>
      <c r="S36" s="25"/>
      <c r="T36" s="25"/>
      <c r="U36" s="25"/>
      <c r="V36" s="25"/>
      <c r="W36" s="25"/>
      <c r="X36" s="25"/>
    </row>
    <row r="37" spans="1:24" x14ac:dyDescent="0.3">
      <c r="A37" s="25"/>
      <c r="B37" s="25"/>
      <c r="C37" s="25"/>
      <c r="D37" s="25"/>
      <c r="E37" s="25"/>
      <c r="F37" s="25"/>
      <c r="G37" s="25"/>
      <c r="H37" s="25"/>
      <c r="I37" s="25"/>
      <c r="J37" s="25"/>
      <c r="K37" s="25"/>
      <c r="L37" s="25"/>
      <c r="M37" s="25"/>
      <c r="N37" s="25"/>
      <c r="O37" s="25"/>
      <c r="P37" s="25"/>
      <c r="Q37" s="25"/>
      <c r="R37" s="25"/>
      <c r="S37" s="25"/>
      <c r="T37" s="25"/>
      <c r="U37" s="25"/>
      <c r="V37" s="25"/>
      <c r="W37" s="25"/>
      <c r="X37" s="25"/>
    </row>
    <row r="38" spans="1:24"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row>
    <row r="39" spans="1:24"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row>
  </sheetData>
  <sheetProtection selectLockedCells="1" pivotTables="0"/>
  <mergeCells count="1">
    <mergeCell ref="A1:X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FE82B-A3C2-48BF-9A80-E6CF161ECC14}">
  <dimension ref="A1:P103"/>
  <sheetViews>
    <sheetView topLeftCell="E1" workbookViewId="0">
      <pane ySplit="1" topLeftCell="A2" activePane="bottomLeft" state="frozen"/>
      <selection pane="bottomLeft" activeCell="K102" sqref="K102"/>
    </sheetView>
  </sheetViews>
  <sheetFormatPr defaultRowHeight="14.4" x14ac:dyDescent="0.3"/>
  <cols>
    <col min="1" max="1" width="6.6640625" bestFit="1" customWidth="1"/>
    <col min="2" max="2" width="17.5546875" bestFit="1" customWidth="1"/>
    <col min="3" max="3" width="14.5546875" bestFit="1" customWidth="1"/>
    <col min="4" max="4" width="20.109375" bestFit="1" customWidth="1"/>
    <col min="5" max="5" width="17.33203125" bestFit="1" customWidth="1"/>
    <col min="6" max="6" width="16.109375" style="1" bestFit="1" customWidth="1"/>
    <col min="7" max="7" width="10.33203125" bestFit="1" customWidth="1"/>
    <col min="8" max="8" width="10.77734375" style="2" bestFit="1" customWidth="1"/>
    <col min="9" max="9" width="17.44140625" style="2" bestFit="1" customWidth="1"/>
    <col min="10" max="10" width="16.21875" bestFit="1" customWidth="1"/>
    <col min="11" max="11" width="20.5546875" style="2" bestFit="1" customWidth="1"/>
    <col min="12" max="12" width="15.6640625" bestFit="1" customWidth="1"/>
    <col min="13" max="13" width="18.88671875" style="3" bestFit="1" customWidth="1"/>
    <col min="14" max="14" width="21.5546875" bestFit="1" customWidth="1"/>
    <col min="15" max="15" width="23.21875" style="4" bestFit="1" customWidth="1"/>
    <col min="16" max="16" width="14.33203125" customWidth="1"/>
  </cols>
  <sheetData>
    <row r="1" spans="1:16" x14ac:dyDescent="0.3">
      <c r="A1" t="s">
        <v>0</v>
      </c>
      <c r="B1" t="s">
        <v>1</v>
      </c>
      <c r="C1" t="s">
        <v>2</v>
      </c>
      <c r="D1" t="s">
        <v>3</v>
      </c>
      <c r="E1" t="s">
        <v>4</v>
      </c>
      <c r="F1" s="1" t="s">
        <v>5</v>
      </c>
      <c r="G1" t="s">
        <v>6</v>
      </c>
      <c r="H1" s="2" t="s">
        <v>7</v>
      </c>
      <c r="I1" s="2" t="s">
        <v>8</v>
      </c>
      <c r="J1" t="s">
        <v>9</v>
      </c>
      <c r="K1" s="2" t="s">
        <v>123</v>
      </c>
      <c r="L1" s="3" t="s">
        <v>125</v>
      </c>
      <c r="M1" t="s">
        <v>126</v>
      </c>
      <c r="N1" s="4" t="s">
        <v>127</v>
      </c>
      <c r="O1" t="s">
        <v>129</v>
      </c>
      <c r="P1" t="s">
        <v>124</v>
      </c>
    </row>
    <row r="2" spans="1:16" x14ac:dyDescent="0.3">
      <c r="A2" t="s">
        <v>10</v>
      </c>
      <c r="B2" t="s">
        <v>11</v>
      </c>
      <c r="C2">
        <v>58</v>
      </c>
      <c r="D2" t="s">
        <v>12</v>
      </c>
      <c r="E2">
        <v>96</v>
      </c>
      <c r="F2" s="1">
        <v>7</v>
      </c>
      <c r="G2" t="s">
        <v>13</v>
      </c>
      <c r="H2" s="2">
        <v>46.279899999999998</v>
      </c>
      <c r="I2" s="2">
        <v>69.808000000000007</v>
      </c>
      <c r="J2">
        <v>802</v>
      </c>
      <c r="K2" s="2">
        <f>Main_Data[[#This Row],[Current Stock]]*Main_Data[[#This Row],[Unit Cost]]</f>
        <v>2684.2341999999999</v>
      </c>
      <c r="L2" s="3">
        <f>(Main_Data[[#This Row],[Unit Selling Price]] - Main_Data[[#This Row],[Unit Cost]]) /Main_Data[[#This Row],[Unit Selling Price]]</f>
        <v>0.33704016731606701</v>
      </c>
      <c r="M2" s="2">
        <f>(Main_Data[[#This Row],[Total Units Sold]] *Main_Data[[#This Row],[Unit Selling Price]])-Main_Data[[#This Row],[Total Units Sold]]*Main_Data[[#This Row],[Unit Cost]]</f>
        <v>18869.536200000002</v>
      </c>
      <c r="N2" s="4">
        <f>Main_Data[[#This Row],[Total Units Sold]] / IF(Main_Data[[#This Row],[Current Stock]]=0, 1,Main_Data[[#This Row],[Current Stock]])</f>
        <v>13.827586206896552</v>
      </c>
      <c r="O2" s="2" t="str">
        <f>IF(Main_Data[[#This Row],[Unit Cost]] &gt; Main_Data[[#This Row],[Unit Selling Price]], "LOSS MAKER", "Profitable")</f>
        <v>Profitable</v>
      </c>
      <c r="P2" s="2" t="str">
        <f>IF(Main_Data[[#This Row],[Current Stock]] &lt;= Main_Data[[#This Row],[Reorder Quantity]], "Reorder", "No")</f>
        <v>Reorder</v>
      </c>
    </row>
    <row r="3" spans="1:16" x14ac:dyDescent="0.3">
      <c r="A3" t="s">
        <v>14</v>
      </c>
      <c r="B3" t="s">
        <v>15</v>
      </c>
      <c r="C3">
        <v>53</v>
      </c>
      <c r="D3" t="s">
        <v>12</v>
      </c>
      <c r="E3">
        <v>37</v>
      </c>
      <c r="F3" s="1">
        <v>30</v>
      </c>
      <c r="G3" t="s">
        <v>13</v>
      </c>
      <c r="H3" s="2">
        <v>33.616799999999998</v>
      </c>
      <c r="I3" s="2">
        <v>14.843500000000001</v>
      </c>
      <c r="J3">
        <v>736</v>
      </c>
      <c r="K3" s="2">
        <f>Main_Data[[#This Row],[Current Stock]]*Main_Data[[#This Row],[Unit Cost]]</f>
        <v>1781.6904</v>
      </c>
      <c r="L3" s="3">
        <f>(Main_Data[[#This Row],[Unit Selling Price]] - Main_Data[[#This Row],[Unit Cost]]) /Main_Data[[#This Row],[Unit Selling Price]]</f>
        <v>-1.2647488799811364</v>
      </c>
      <c r="M3" s="2">
        <f>(Main_Data[[#This Row],[Total Units Sold]] *Main_Data[[#This Row],[Unit Selling Price]])-Main_Data[[#This Row],[Total Units Sold]]*Main_Data[[#This Row],[Unit Cost]]</f>
        <v>-13817.148799999997</v>
      </c>
      <c r="N3" s="4">
        <f>Main_Data[[#This Row],[Total Units Sold]] / IF(Main_Data[[#This Row],[Current Stock]]=0, 1,Main_Data[[#This Row],[Current Stock]])</f>
        <v>13.886792452830189</v>
      </c>
      <c r="O3" s="2" t="str">
        <f>IF(Main_Data[[#This Row],[Unit Cost]] &gt; Main_Data[[#This Row],[Unit Selling Price]], "LOSS MAKER", "Profitable")</f>
        <v>LOSS MAKER</v>
      </c>
      <c r="P3" s="2" t="str">
        <f>IF(Main_Data[[#This Row],[Current Stock]] &lt;= Main_Data[[#This Row],[Reorder Quantity]], "Reorder", "No")</f>
        <v>No</v>
      </c>
    </row>
    <row r="4" spans="1:16" x14ac:dyDescent="0.3">
      <c r="A4" t="s">
        <v>16</v>
      </c>
      <c r="B4" t="s">
        <v>11</v>
      </c>
      <c r="C4">
        <v>1</v>
      </c>
      <c r="D4" t="s">
        <v>12</v>
      </c>
      <c r="E4">
        <v>88</v>
      </c>
      <c r="F4" s="1">
        <v>10</v>
      </c>
      <c r="G4" t="s">
        <v>17</v>
      </c>
      <c r="H4" s="2">
        <v>30.687999999999999</v>
      </c>
      <c r="I4" s="2">
        <v>11.319699999999999</v>
      </c>
      <c r="J4">
        <v>8</v>
      </c>
      <c r="K4" s="2">
        <f>Main_Data[[#This Row],[Current Stock]]*Main_Data[[#This Row],[Unit Cost]]</f>
        <v>30.687999999999999</v>
      </c>
      <c r="L4" s="3">
        <f>(Main_Data[[#This Row],[Unit Selling Price]] - Main_Data[[#This Row],[Unit Cost]]) /Main_Data[[#This Row],[Unit Selling Price]]</f>
        <v>-1.7110259105806691</v>
      </c>
      <c r="M4" s="2">
        <f>(Main_Data[[#This Row],[Total Units Sold]] *Main_Data[[#This Row],[Unit Selling Price]])-Main_Data[[#This Row],[Total Units Sold]]*Main_Data[[#This Row],[Unit Cost]]</f>
        <v>-154.94639999999998</v>
      </c>
      <c r="N4" s="4">
        <f>Main_Data[[#This Row],[Total Units Sold]] / IF(Main_Data[[#This Row],[Current Stock]]=0, 1,Main_Data[[#This Row],[Current Stock]])</f>
        <v>8</v>
      </c>
      <c r="O4" s="2" t="str">
        <f>IF(Main_Data[[#This Row],[Unit Cost]] &gt; Main_Data[[#This Row],[Unit Selling Price]], "LOSS MAKER", "Profitable")</f>
        <v>LOSS MAKER</v>
      </c>
      <c r="P4" s="2" t="str">
        <f>IF(Main_Data[[#This Row],[Current Stock]] &lt;= Main_Data[[#This Row],[Reorder Quantity]], "Reorder", "No")</f>
        <v>Reorder</v>
      </c>
    </row>
    <row r="5" spans="1:16" x14ac:dyDescent="0.3">
      <c r="A5" t="s">
        <v>18</v>
      </c>
      <c r="B5" t="s">
        <v>15</v>
      </c>
      <c r="C5">
        <v>23</v>
      </c>
      <c r="D5" t="s">
        <v>19</v>
      </c>
      <c r="E5">
        <v>59</v>
      </c>
      <c r="F5" s="1">
        <v>13</v>
      </c>
      <c r="G5" t="s">
        <v>20</v>
      </c>
      <c r="H5" s="2">
        <v>35.624699999999997</v>
      </c>
      <c r="I5" s="2">
        <v>61.1633</v>
      </c>
      <c r="J5">
        <v>83</v>
      </c>
      <c r="K5" s="2">
        <f>Main_Data[[#This Row],[Current Stock]]*Main_Data[[#This Row],[Unit Cost]]</f>
        <v>819.36809999999991</v>
      </c>
      <c r="L5" s="3">
        <f>(Main_Data[[#This Row],[Unit Selling Price]] - Main_Data[[#This Row],[Unit Cost]]) /Main_Data[[#This Row],[Unit Selling Price]]</f>
        <v>0.41754777783409336</v>
      </c>
      <c r="M5" s="2">
        <f>(Main_Data[[#This Row],[Total Units Sold]] *Main_Data[[#This Row],[Unit Selling Price]])-Main_Data[[#This Row],[Total Units Sold]]*Main_Data[[#This Row],[Unit Cost]]</f>
        <v>2119.7038000000002</v>
      </c>
      <c r="N5" s="4">
        <f>Main_Data[[#This Row],[Total Units Sold]] / IF(Main_Data[[#This Row],[Current Stock]]=0, 1,Main_Data[[#This Row],[Current Stock]])</f>
        <v>3.6086956521739131</v>
      </c>
      <c r="O5" s="2" t="str">
        <f>IF(Main_Data[[#This Row],[Unit Cost]] &gt; Main_Data[[#This Row],[Unit Selling Price]], "LOSS MAKER", "Profitable")</f>
        <v>Profitable</v>
      </c>
      <c r="P5" s="2" t="str">
        <f>IF(Main_Data[[#This Row],[Current Stock]] &lt;= Main_Data[[#This Row],[Reorder Quantity]], "Reorder", "No")</f>
        <v>Reorder</v>
      </c>
    </row>
    <row r="6" spans="1:16" x14ac:dyDescent="0.3">
      <c r="A6" t="s">
        <v>21</v>
      </c>
      <c r="B6" t="s">
        <v>15</v>
      </c>
      <c r="C6">
        <v>5</v>
      </c>
      <c r="D6" t="s">
        <v>22</v>
      </c>
      <c r="E6">
        <v>56</v>
      </c>
      <c r="F6" s="1">
        <v>3</v>
      </c>
      <c r="G6" t="s">
        <v>17</v>
      </c>
      <c r="H6" s="2">
        <v>92.065200000000004</v>
      </c>
      <c r="I6" s="2">
        <v>4.8055000000000003</v>
      </c>
      <c r="J6">
        <v>871</v>
      </c>
      <c r="K6" s="2">
        <f>Main_Data[[#This Row],[Current Stock]]*Main_Data[[#This Row],[Unit Cost]]</f>
        <v>460.32600000000002</v>
      </c>
      <c r="L6" s="3">
        <f>(Main_Data[[#This Row],[Unit Selling Price]] - Main_Data[[#This Row],[Unit Cost]]) /Main_Data[[#This Row],[Unit Selling Price]]</f>
        <v>-18.158297783789408</v>
      </c>
      <c r="M6" s="2">
        <f>(Main_Data[[#This Row],[Total Units Sold]] *Main_Data[[#This Row],[Unit Selling Price]])-Main_Data[[#This Row],[Total Units Sold]]*Main_Data[[#This Row],[Unit Cost]]</f>
        <v>-76003.198699999994</v>
      </c>
      <c r="N6" s="4">
        <f>Main_Data[[#This Row],[Total Units Sold]] / IF(Main_Data[[#This Row],[Current Stock]]=0, 1,Main_Data[[#This Row],[Current Stock]])</f>
        <v>174.2</v>
      </c>
      <c r="O6" s="2" t="str">
        <f>IF(Main_Data[[#This Row],[Unit Cost]] &gt; Main_Data[[#This Row],[Unit Selling Price]], "LOSS MAKER", "Profitable")</f>
        <v>LOSS MAKER</v>
      </c>
      <c r="P6" s="2" t="str">
        <f>IF(Main_Data[[#This Row],[Current Stock]] &lt;= Main_Data[[#This Row],[Reorder Quantity]], "Reorder", "No")</f>
        <v>Reorder</v>
      </c>
    </row>
    <row r="7" spans="1:16" x14ac:dyDescent="0.3">
      <c r="A7" t="s">
        <v>23</v>
      </c>
      <c r="B7" t="s">
        <v>11</v>
      </c>
      <c r="C7">
        <v>90</v>
      </c>
      <c r="D7" t="s">
        <v>24</v>
      </c>
      <c r="E7">
        <v>66</v>
      </c>
      <c r="F7" s="1">
        <v>27</v>
      </c>
      <c r="G7" t="s">
        <v>25</v>
      </c>
      <c r="H7" s="2">
        <v>56.766500000000001</v>
      </c>
      <c r="I7" s="2">
        <v>1.7</v>
      </c>
      <c r="J7">
        <v>147</v>
      </c>
      <c r="K7" s="2">
        <f>Main_Data[[#This Row],[Current Stock]]*Main_Data[[#This Row],[Unit Cost]]</f>
        <v>5108.9849999999997</v>
      </c>
      <c r="L7" s="3">
        <f>(Main_Data[[#This Row],[Unit Selling Price]] - Main_Data[[#This Row],[Unit Cost]]) /Main_Data[[#This Row],[Unit Selling Price]]</f>
        <v>-32.39205882352941</v>
      </c>
      <c r="M7" s="2">
        <f>(Main_Data[[#This Row],[Total Units Sold]] *Main_Data[[#This Row],[Unit Selling Price]])-Main_Data[[#This Row],[Total Units Sold]]*Main_Data[[#This Row],[Unit Cost]]</f>
        <v>-8094.7754999999997</v>
      </c>
      <c r="N7" s="4">
        <f>Main_Data[[#This Row],[Total Units Sold]] / IF(Main_Data[[#This Row],[Current Stock]]=0, 1,Main_Data[[#This Row],[Current Stock]])</f>
        <v>1.6333333333333333</v>
      </c>
      <c r="O7" s="2" t="str">
        <f>IF(Main_Data[[#This Row],[Unit Cost]] &gt; Main_Data[[#This Row],[Unit Selling Price]], "LOSS MAKER", "Profitable")</f>
        <v>LOSS MAKER</v>
      </c>
      <c r="P7" s="2" t="str">
        <f>IF(Main_Data[[#This Row],[Current Stock]] &lt;= Main_Data[[#This Row],[Reorder Quantity]], "Reorder", "No")</f>
        <v>No</v>
      </c>
    </row>
    <row r="8" spans="1:16" x14ac:dyDescent="0.3">
      <c r="A8" t="s">
        <v>26</v>
      </c>
      <c r="B8" t="s">
        <v>15</v>
      </c>
      <c r="C8">
        <v>11</v>
      </c>
      <c r="D8" t="s">
        <v>19</v>
      </c>
      <c r="E8">
        <v>58</v>
      </c>
      <c r="F8" s="1">
        <v>15</v>
      </c>
      <c r="G8" t="s">
        <v>13</v>
      </c>
      <c r="H8" s="2">
        <v>1.0851</v>
      </c>
      <c r="I8" s="2">
        <v>4.0782999999999996</v>
      </c>
      <c r="J8">
        <v>65</v>
      </c>
      <c r="K8" s="2">
        <f>Main_Data[[#This Row],[Current Stock]]*Main_Data[[#This Row],[Unit Cost]]</f>
        <v>11.9361</v>
      </c>
      <c r="L8" s="3">
        <f>(Main_Data[[#This Row],[Unit Selling Price]] - Main_Data[[#This Row],[Unit Cost]]) /Main_Data[[#This Row],[Unit Selling Price]]</f>
        <v>0.73393325650393548</v>
      </c>
      <c r="M8" s="2">
        <f>(Main_Data[[#This Row],[Total Units Sold]] *Main_Data[[#This Row],[Unit Selling Price]])-Main_Data[[#This Row],[Total Units Sold]]*Main_Data[[#This Row],[Unit Cost]]</f>
        <v>194.55799999999999</v>
      </c>
      <c r="N8" s="4">
        <f>Main_Data[[#This Row],[Total Units Sold]] / IF(Main_Data[[#This Row],[Current Stock]]=0, 1,Main_Data[[#This Row],[Current Stock]])</f>
        <v>5.9090909090909092</v>
      </c>
      <c r="O8" s="2" t="str">
        <f>IF(Main_Data[[#This Row],[Unit Cost]] &gt; Main_Data[[#This Row],[Unit Selling Price]], "LOSS MAKER", "Profitable")</f>
        <v>Profitable</v>
      </c>
      <c r="P8" s="2" t="str">
        <f>IF(Main_Data[[#This Row],[Current Stock]] &lt;= Main_Data[[#This Row],[Reorder Quantity]], "Reorder", "No")</f>
        <v>Reorder</v>
      </c>
    </row>
    <row r="9" spans="1:16" x14ac:dyDescent="0.3">
      <c r="A9" t="s">
        <v>27</v>
      </c>
      <c r="B9" t="s">
        <v>28</v>
      </c>
      <c r="C9">
        <v>93</v>
      </c>
      <c r="D9" t="s">
        <v>24</v>
      </c>
      <c r="E9">
        <v>11</v>
      </c>
      <c r="F9" s="1">
        <v>17</v>
      </c>
      <c r="G9" t="s">
        <v>25</v>
      </c>
      <c r="H9" s="2">
        <v>99.466099999999997</v>
      </c>
      <c r="I9" s="2">
        <v>42.958399999999997</v>
      </c>
      <c r="J9">
        <v>426</v>
      </c>
      <c r="K9" s="2">
        <f>Main_Data[[#This Row],[Current Stock]]*Main_Data[[#This Row],[Unit Cost]]</f>
        <v>9250.3472999999994</v>
      </c>
      <c r="L9" s="3">
        <f>(Main_Data[[#This Row],[Unit Selling Price]] - Main_Data[[#This Row],[Unit Cost]]) /Main_Data[[#This Row],[Unit Selling Price]]</f>
        <v>-1.3154051361316996</v>
      </c>
      <c r="M9" s="2">
        <f>(Main_Data[[#This Row],[Total Units Sold]] *Main_Data[[#This Row],[Unit Selling Price]])-Main_Data[[#This Row],[Total Units Sold]]*Main_Data[[#This Row],[Unit Cost]]</f>
        <v>-24072.280199999997</v>
      </c>
      <c r="N9" s="4">
        <f>Main_Data[[#This Row],[Total Units Sold]] / IF(Main_Data[[#This Row],[Current Stock]]=0, 1,Main_Data[[#This Row],[Current Stock]])</f>
        <v>4.580645161290323</v>
      </c>
      <c r="O9" s="2" t="str">
        <f>IF(Main_Data[[#This Row],[Unit Cost]] &gt; Main_Data[[#This Row],[Unit Selling Price]], "LOSS MAKER", "Profitable")</f>
        <v>LOSS MAKER</v>
      </c>
      <c r="P9" s="2" t="str">
        <f>IF(Main_Data[[#This Row],[Current Stock]] &lt;= Main_Data[[#This Row],[Reorder Quantity]], "Reorder", "No")</f>
        <v>No</v>
      </c>
    </row>
    <row r="10" spans="1:16" x14ac:dyDescent="0.3">
      <c r="A10" t="s">
        <v>29</v>
      </c>
      <c r="B10" t="s">
        <v>28</v>
      </c>
      <c r="C10">
        <v>5</v>
      </c>
      <c r="D10" t="s">
        <v>12</v>
      </c>
      <c r="E10">
        <v>15</v>
      </c>
      <c r="F10" s="1">
        <v>10</v>
      </c>
      <c r="G10" t="s">
        <v>25</v>
      </c>
      <c r="H10" s="2">
        <v>11.423</v>
      </c>
      <c r="I10" s="2">
        <v>68.717600000000004</v>
      </c>
      <c r="J10">
        <v>150</v>
      </c>
      <c r="K10" s="2">
        <f>Main_Data[[#This Row],[Current Stock]]*Main_Data[[#This Row],[Unit Cost]]</f>
        <v>57.115000000000002</v>
      </c>
      <c r="L10" s="3">
        <f>(Main_Data[[#This Row],[Unit Selling Price]] - Main_Data[[#This Row],[Unit Cost]]) /Main_Data[[#This Row],[Unit Selling Price]]</f>
        <v>0.83376893255876228</v>
      </c>
      <c r="M10" s="2">
        <f>(Main_Data[[#This Row],[Total Units Sold]] *Main_Data[[#This Row],[Unit Selling Price]])-Main_Data[[#This Row],[Total Units Sold]]*Main_Data[[#This Row],[Unit Cost]]</f>
        <v>8594.19</v>
      </c>
      <c r="N10" s="4">
        <f>Main_Data[[#This Row],[Total Units Sold]] / IF(Main_Data[[#This Row],[Current Stock]]=0, 1,Main_Data[[#This Row],[Current Stock]])</f>
        <v>30</v>
      </c>
      <c r="O10" s="2" t="str">
        <f>IF(Main_Data[[#This Row],[Unit Cost]] &gt; Main_Data[[#This Row],[Unit Selling Price]], "LOSS MAKER", "Profitable")</f>
        <v>Profitable</v>
      </c>
      <c r="P10" s="2" t="str">
        <f>IF(Main_Data[[#This Row],[Current Stock]] &lt;= Main_Data[[#This Row],[Reorder Quantity]], "Reorder", "No")</f>
        <v>Reorder</v>
      </c>
    </row>
    <row r="11" spans="1:16" x14ac:dyDescent="0.3">
      <c r="A11" t="s">
        <v>30</v>
      </c>
      <c r="B11" t="s">
        <v>15</v>
      </c>
      <c r="C11">
        <v>14</v>
      </c>
      <c r="D11" t="s">
        <v>31</v>
      </c>
      <c r="E11">
        <v>83</v>
      </c>
      <c r="F11" s="1">
        <v>27</v>
      </c>
      <c r="G11" t="s">
        <v>32</v>
      </c>
      <c r="H11" s="2">
        <v>47.957599999999999</v>
      </c>
      <c r="I11" s="2">
        <v>64.015699999999995</v>
      </c>
      <c r="J11">
        <v>980</v>
      </c>
      <c r="K11" s="2">
        <f>Main_Data[[#This Row],[Current Stock]]*Main_Data[[#This Row],[Unit Cost]]</f>
        <v>671.40639999999996</v>
      </c>
      <c r="L11" s="3">
        <f>(Main_Data[[#This Row],[Unit Selling Price]] - Main_Data[[#This Row],[Unit Cost]]) /Main_Data[[#This Row],[Unit Selling Price]]</f>
        <v>0.25084627677272914</v>
      </c>
      <c r="M11" s="2">
        <f>(Main_Data[[#This Row],[Total Units Sold]] *Main_Data[[#This Row],[Unit Selling Price]])-Main_Data[[#This Row],[Total Units Sold]]*Main_Data[[#This Row],[Unit Cost]]</f>
        <v>15736.938000000002</v>
      </c>
      <c r="N11" s="4">
        <f>Main_Data[[#This Row],[Total Units Sold]] / IF(Main_Data[[#This Row],[Current Stock]]=0, 1,Main_Data[[#This Row],[Current Stock]])</f>
        <v>70</v>
      </c>
      <c r="O11" s="2" t="str">
        <f>IF(Main_Data[[#This Row],[Unit Cost]] &gt; Main_Data[[#This Row],[Unit Selling Price]], "LOSS MAKER", "Profitable")</f>
        <v>Profitable</v>
      </c>
      <c r="P11" s="2" t="str">
        <f>IF(Main_Data[[#This Row],[Current Stock]] &lt;= Main_Data[[#This Row],[Reorder Quantity]], "Reorder", "No")</f>
        <v>Reorder</v>
      </c>
    </row>
    <row r="12" spans="1:16" x14ac:dyDescent="0.3">
      <c r="A12" t="s">
        <v>33</v>
      </c>
      <c r="B12" t="s">
        <v>15</v>
      </c>
      <c r="C12">
        <v>51</v>
      </c>
      <c r="D12" t="s">
        <v>19</v>
      </c>
      <c r="E12">
        <v>80</v>
      </c>
      <c r="F12" s="1">
        <v>13</v>
      </c>
      <c r="G12" t="s">
        <v>20</v>
      </c>
      <c r="H12" s="2">
        <v>96.5274</v>
      </c>
      <c r="I12" s="2">
        <v>15.707800000000001</v>
      </c>
      <c r="J12">
        <v>996</v>
      </c>
      <c r="K12" s="2">
        <f>Main_Data[[#This Row],[Current Stock]]*Main_Data[[#This Row],[Unit Cost]]</f>
        <v>4922.8973999999998</v>
      </c>
      <c r="L12" s="3">
        <f>(Main_Data[[#This Row],[Unit Selling Price]] - Main_Data[[#This Row],[Unit Cost]]) /Main_Data[[#This Row],[Unit Selling Price]]</f>
        <v>-5.1451890143750232</v>
      </c>
      <c r="M12" s="2">
        <f>(Main_Data[[#This Row],[Total Units Sold]] *Main_Data[[#This Row],[Unit Selling Price]])-Main_Data[[#This Row],[Total Units Sold]]*Main_Data[[#This Row],[Unit Cost]]</f>
        <v>-80496.321599999996</v>
      </c>
      <c r="N12" s="4">
        <f>Main_Data[[#This Row],[Total Units Sold]] / IF(Main_Data[[#This Row],[Current Stock]]=0, 1,Main_Data[[#This Row],[Current Stock]])</f>
        <v>19.529411764705884</v>
      </c>
      <c r="O12" s="2" t="str">
        <f>IF(Main_Data[[#This Row],[Unit Cost]] &gt; Main_Data[[#This Row],[Unit Selling Price]], "LOSS MAKER", "Profitable")</f>
        <v>LOSS MAKER</v>
      </c>
      <c r="P12" s="2" t="str">
        <f>IF(Main_Data[[#This Row],[Current Stock]] &lt;= Main_Data[[#This Row],[Reorder Quantity]], "Reorder", "No")</f>
        <v>Reorder</v>
      </c>
    </row>
    <row r="13" spans="1:16" x14ac:dyDescent="0.3">
      <c r="A13" t="s">
        <v>34</v>
      </c>
      <c r="B13" t="s">
        <v>15</v>
      </c>
      <c r="C13">
        <v>46</v>
      </c>
      <c r="D13" t="s">
        <v>19</v>
      </c>
      <c r="E13">
        <v>60</v>
      </c>
      <c r="F13" s="1">
        <v>23</v>
      </c>
      <c r="G13" t="s">
        <v>32</v>
      </c>
      <c r="H13" s="2">
        <v>27.592400000000001</v>
      </c>
      <c r="I13" s="2">
        <v>90.635499999999993</v>
      </c>
      <c r="J13">
        <v>960</v>
      </c>
      <c r="K13" s="2">
        <f>Main_Data[[#This Row],[Current Stock]]*Main_Data[[#This Row],[Unit Cost]]</f>
        <v>1269.2504000000001</v>
      </c>
      <c r="L13" s="3">
        <f>(Main_Data[[#This Row],[Unit Selling Price]] - Main_Data[[#This Row],[Unit Cost]]) /Main_Data[[#This Row],[Unit Selling Price]]</f>
        <v>0.6955674101207584</v>
      </c>
      <c r="M13" s="2">
        <f>(Main_Data[[#This Row],[Total Units Sold]] *Main_Data[[#This Row],[Unit Selling Price]])-Main_Data[[#This Row],[Total Units Sold]]*Main_Data[[#This Row],[Unit Cost]]</f>
        <v>60521.375999999989</v>
      </c>
      <c r="N13" s="4">
        <f>Main_Data[[#This Row],[Total Units Sold]] / IF(Main_Data[[#This Row],[Current Stock]]=0, 1,Main_Data[[#This Row],[Current Stock]])</f>
        <v>20.869565217391305</v>
      </c>
      <c r="O13" s="2" t="str">
        <f>IF(Main_Data[[#This Row],[Unit Cost]] &gt; Main_Data[[#This Row],[Unit Selling Price]], "LOSS MAKER", "Profitable")</f>
        <v>Profitable</v>
      </c>
      <c r="P13" s="2" t="str">
        <f>IF(Main_Data[[#This Row],[Current Stock]] &lt;= Main_Data[[#This Row],[Reorder Quantity]], "Reorder", "No")</f>
        <v>Reorder</v>
      </c>
    </row>
    <row r="14" spans="1:16" x14ac:dyDescent="0.3">
      <c r="A14" t="s">
        <v>35</v>
      </c>
      <c r="B14" t="s">
        <v>11</v>
      </c>
      <c r="C14">
        <v>100</v>
      </c>
      <c r="D14" t="s">
        <v>19</v>
      </c>
      <c r="E14">
        <v>85</v>
      </c>
      <c r="F14" s="1">
        <v>30</v>
      </c>
      <c r="G14" t="s">
        <v>25</v>
      </c>
      <c r="H14" s="2">
        <v>32.321300000000001</v>
      </c>
      <c r="I14" s="2">
        <v>71.213399999999993</v>
      </c>
      <c r="J14">
        <v>336</v>
      </c>
      <c r="K14" s="2">
        <f>Main_Data[[#This Row],[Current Stock]]*Main_Data[[#This Row],[Unit Cost]]</f>
        <v>3232.13</v>
      </c>
      <c r="L14" s="3">
        <f>(Main_Data[[#This Row],[Unit Selling Price]] - Main_Data[[#This Row],[Unit Cost]]) /Main_Data[[#This Row],[Unit Selling Price]]</f>
        <v>0.54613457579612823</v>
      </c>
      <c r="M14" s="2">
        <f>(Main_Data[[#This Row],[Total Units Sold]] *Main_Data[[#This Row],[Unit Selling Price]])-Main_Data[[#This Row],[Total Units Sold]]*Main_Data[[#This Row],[Unit Cost]]</f>
        <v>13067.745599999998</v>
      </c>
      <c r="N14" s="4">
        <f>Main_Data[[#This Row],[Total Units Sold]] / IF(Main_Data[[#This Row],[Current Stock]]=0, 1,Main_Data[[#This Row],[Current Stock]])</f>
        <v>3.36</v>
      </c>
      <c r="O14" s="2" t="str">
        <f>IF(Main_Data[[#This Row],[Unit Cost]] &gt; Main_Data[[#This Row],[Unit Selling Price]], "LOSS MAKER", "Profitable")</f>
        <v>Profitable</v>
      </c>
      <c r="P14" s="2" t="str">
        <f>IF(Main_Data[[#This Row],[Current Stock]] &lt;= Main_Data[[#This Row],[Reorder Quantity]], "Reorder", "No")</f>
        <v>No</v>
      </c>
    </row>
    <row r="15" spans="1:16" x14ac:dyDescent="0.3">
      <c r="A15" t="s">
        <v>36</v>
      </c>
      <c r="B15" t="s">
        <v>15</v>
      </c>
      <c r="C15">
        <v>80</v>
      </c>
      <c r="D15" t="s">
        <v>24</v>
      </c>
      <c r="E15">
        <v>48</v>
      </c>
      <c r="F15" s="1">
        <v>8</v>
      </c>
      <c r="G15" t="s">
        <v>20</v>
      </c>
      <c r="H15" s="2">
        <v>97.829099999999997</v>
      </c>
      <c r="I15" s="2">
        <v>16.160399999999999</v>
      </c>
      <c r="J15">
        <v>249</v>
      </c>
      <c r="K15" s="2">
        <f>Main_Data[[#This Row],[Current Stock]]*Main_Data[[#This Row],[Unit Cost]]</f>
        <v>7826.3279999999995</v>
      </c>
      <c r="L15" s="3">
        <f>(Main_Data[[#This Row],[Unit Selling Price]] - Main_Data[[#This Row],[Unit Cost]]) /Main_Data[[#This Row],[Unit Selling Price]]</f>
        <v>-5.0536310982401424</v>
      </c>
      <c r="M15" s="2">
        <f>(Main_Data[[#This Row],[Total Units Sold]] *Main_Data[[#This Row],[Unit Selling Price]])-Main_Data[[#This Row],[Total Units Sold]]*Main_Data[[#This Row],[Unit Cost]]</f>
        <v>-20335.506300000001</v>
      </c>
      <c r="N15" s="4">
        <f>Main_Data[[#This Row],[Total Units Sold]] / IF(Main_Data[[#This Row],[Current Stock]]=0, 1,Main_Data[[#This Row],[Current Stock]])</f>
        <v>3.1124999999999998</v>
      </c>
      <c r="O15" s="2" t="str">
        <f>IF(Main_Data[[#This Row],[Unit Cost]] &gt; Main_Data[[#This Row],[Unit Selling Price]], "LOSS MAKER", "Profitable")</f>
        <v>LOSS MAKER</v>
      </c>
      <c r="P15" s="2" t="str">
        <f>IF(Main_Data[[#This Row],[Current Stock]] &lt;= Main_Data[[#This Row],[Reorder Quantity]], "Reorder", "No")</f>
        <v>No</v>
      </c>
    </row>
    <row r="16" spans="1:16" x14ac:dyDescent="0.3">
      <c r="A16" t="s">
        <v>37</v>
      </c>
      <c r="B16" t="s">
        <v>15</v>
      </c>
      <c r="C16">
        <v>54</v>
      </c>
      <c r="D16" t="s">
        <v>19</v>
      </c>
      <c r="E16">
        <v>78</v>
      </c>
      <c r="F16" s="1">
        <v>29</v>
      </c>
      <c r="G16" t="s">
        <v>17</v>
      </c>
      <c r="H16" s="2">
        <v>5.7914000000000003</v>
      </c>
      <c r="I16" s="2">
        <v>99.171300000000002</v>
      </c>
      <c r="J16">
        <v>562</v>
      </c>
      <c r="K16" s="2">
        <f>Main_Data[[#This Row],[Current Stock]]*Main_Data[[#This Row],[Unit Cost]]</f>
        <v>312.73560000000003</v>
      </c>
      <c r="L16" s="3">
        <f>(Main_Data[[#This Row],[Unit Selling Price]] - Main_Data[[#This Row],[Unit Cost]]) /Main_Data[[#This Row],[Unit Selling Price]]</f>
        <v>0.94160205624006144</v>
      </c>
      <c r="M16" s="2">
        <f>(Main_Data[[#This Row],[Total Units Sold]] *Main_Data[[#This Row],[Unit Selling Price]])-Main_Data[[#This Row],[Total Units Sold]]*Main_Data[[#This Row],[Unit Cost]]</f>
        <v>52479.503800000006</v>
      </c>
      <c r="N16" s="4">
        <f>Main_Data[[#This Row],[Total Units Sold]] / IF(Main_Data[[#This Row],[Current Stock]]=0, 1,Main_Data[[#This Row],[Current Stock]])</f>
        <v>10.407407407407407</v>
      </c>
      <c r="O16" s="2" t="str">
        <f>IF(Main_Data[[#This Row],[Unit Cost]] &gt; Main_Data[[#This Row],[Unit Selling Price]], "LOSS MAKER", "Profitable")</f>
        <v>Profitable</v>
      </c>
      <c r="P16" s="2" t="str">
        <f>IF(Main_Data[[#This Row],[Current Stock]] &lt;= Main_Data[[#This Row],[Reorder Quantity]], "Reorder", "No")</f>
        <v>Reorder</v>
      </c>
    </row>
    <row r="17" spans="1:16" x14ac:dyDescent="0.3">
      <c r="A17" t="s">
        <v>38</v>
      </c>
      <c r="B17" t="s">
        <v>15</v>
      </c>
      <c r="C17">
        <v>9</v>
      </c>
      <c r="D17" t="s">
        <v>24</v>
      </c>
      <c r="E17">
        <v>69</v>
      </c>
      <c r="F17" s="1">
        <v>8</v>
      </c>
      <c r="G17" t="s">
        <v>17</v>
      </c>
      <c r="H17" s="2">
        <v>97.121300000000005</v>
      </c>
      <c r="I17" s="2">
        <v>36.989199999999997</v>
      </c>
      <c r="J17">
        <v>469</v>
      </c>
      <c r="K17" s="2">
        <f>Main_Data[[#This Row],[Current Stock]]*Main_Data[[#This Row],[Unit Cost]]</f>
        <v>874.09170000000006</v>
      </c>
      <c r="L17" s="3">
        <f>(Main_Data[[#This Row],[Unit Selling Price]] - Main_Data[[#This Row],[Unit Cost]]) /Main_Data[[#This Row],[Unit Selling Price]]</f>
        <v>-1.6256664107361072</v>
      </c>
      <c r="M17" s="2">
        <f>(Main_Data[[#This Row],[Total Units Sold]] *Main_Data[[#This Row],[Unit Selling Price]])-Main_Data[[#This Row],[Total Units Sold]]*Main_Data[[#This Row],[Unit Cost]]</f>
        <v>-28201.954900000001</v>
      </c>
      <c r="N17" s="4">
        <f>Main_Data[[#This Row],[Total Units Sold]] / IF(Main_Data[[#This Row],[Current Stock]]=0, 1,Main_Data[[#This Row],[Current Stock]])</f>
        <v>52.111111111111114</v>
      </c>
      <c r="O17" s="2" t="str">
        <f>IF(Main_Data[[#This Row],[Unit Cost]] &gt; Main_Data[[#This Row],[Unit Selling Price]], "LOSS MAKER", "Profitable")</f>
        <v>LOSS MAKER</v>
      </c>
      <c r="P17" s="2" t="str">
        <f>IF(Main_Data[[#This Row],[Current Stock]] &lt;= Main_Data[[#This Row],[Reorder Quantity]], "Reorder", "No")</f>
        <v>Reorder</v>
      </c>
    </row>
    <row r="18" spans="1:16" x14ac:dyDescent="0.3">
      <c r="A18" t="s">
        <v>39</v>
      </c>
      <c r="B18" t="s">
        <v>15</v>
      </c>
      <c r="C18">
        <v>2</v>
      </c>
      <c r="D18" t="s">
        <v>24</v>
      </c>
      <c r="E18">
        <v>78</v>
      </c>
      <c r="F18" s="1">
        <v>5</v>
      </c>
      <c r="G18" t="s">
        <v>17</v>
      </c>
      <c r="H18" s="2">
        <v>77.106300000000005</v>
      </c>
      <c r="I18" s="2">
        <v>7.5472000000000001</v>
      </c>
      <c r="J18">
        <v>280</v>
      </c>
      <c r="K18" s="2">
        <f>Main_Data[[#This Row],[Current Stock]]*Main_Data[[#This Row],[Unit Cost]]</f>
        <v>154.21260000000001</v>
      </c>
      <c r="L18" s="3">
        <f>(Main_Data[[#This Row],[Unit Selling Price]] - Main_Data[[#This Row],[Unit Cost]]) /Main_Data[[#This Row],[Unit Selling Price]]</f>
        <v>-9.216543883824464</v>
      </c>
      <c r="M18" s="2">
        <f>(Main_Data[[#This Row],[Total Units Sold]] *Main_Data[[#This Row],[Unit Selling Price]])-Main_Data[[#This Row],[Total Units Sold]]*Main_Data[[#This Row],[Unit Cost]]</f>
        <v>-19476.548000000003</v>
      </c>
      <c r="N18" s="4">
        <f>Main_Data[[#This Row],[Total Units Sold]] / IF(Main_Data[[#This Row],[Current Stock]]=0, 1,Main_Data[[#This Row],[Current Stock]])</f>
        <v>140</v>
      </c>
      <c r="O18" s="2" t="str">
        <f>IF(Main_Data[[#This Row],[Unit Cost]] &gt; Main_Data[[#This Row],[Unit Selling Price]], "LOSS MAKER", "Profitable")</f>
        <v>LOSS MAKER</v>
      </c>
      <c r="P18" s="2" t="str">
        <f>IF(Main_Data[[#This Row],[Current Stock]] &lt;= Main_Data[[#This Row],[Reorder Quantity]], "Reorder", "No")</f>
        <v>Reorder</v>
      </c>
    </row>
    <row r="19" spans="1:16" x14ac:dyDescent="0.3">
      <c r="A19" t="s">
        <v>40</v>
      </c>
      <c r="B19" t="s">
        <v>28</v>
      </c>
      <c r="C19">
        <v>45</v>
      </c>
      <c r="D19" t="s">
        <v>31</v>
      </c>
      <c r="E19">
        <v>85</v>
      </c>
      <c r="F19" s="1">
        <v>17</v>
      </c>
      <c r="G19" t="s">
        <v>17</v>
      </c>
      <c r="H19" s="2">
        <v>47.679699999999997</v>
      </c>
      <c r="I19" s="2">
        <v>81.462500000000006</v>
      </c>
      <c r="J19">
        <v>126</v>
      </c>
      <c r="K19" s="2">
        <f>Main_Data[[#This Row],[Current Stock]]*Main_Data[[#This Row],[Unit Cost]]</f>
        <v>2145.5864999999999</v>
      </c>
      <c r="L19" s="3">
        <f>(Main_Data[[#This Row],[Unit Selling Price]] - Main_Data[[#This Row],[Unit Cost]]) /Main_Data[[#This Row],[Unit Selling Price]]</f>
        <v>0.41470369802056167</v>
      </c>
      <c r="M19" s="2">
        <f>(Main_Data[[#This Row],[Total Units Sold]] *Main_Data[[#This Row],[Unit Selling Price]])-Main_Data[[#This Row],[Total Units Sold]]*Main_Data[[#This Row],[Unit Cost]]</f>
        <v>4256.6328000000021</v>
      </c>
      <c r="N19" s="4">
        <f>Main_Data[[#This Row],[Total Units Sold]] / IF(Main_Data[[#This Row],[Current Stock]]=0, 1,Main_Data[[#This Row],[Current Stock]])</f>
        <v>2.8</v>
      </c>
      <c r="O19" s="2" t="str">
        <f>IF(Main_Data[[#This Row],[Unit Cost]] &gt; Main_Data[[#This Row],[Unit Selling Price]], "LOSS MAKER", "Profitable")</f>
        <v>Profitable</v>
      </c>
      <c r="P19" s="2" t="str">
        <f>IF(Main_Data[[#This Row],[Current Stock]] &lt;= Main_Data[[#This Row],[Reorder Quantity]], "Reorder", "No")</f>
        <v>Reorder</v>
      </c>
    </row>
    <row r="20" spans="1:16" x14ac:dyDescent="0.3">
      <c r="A20" t="s">
        <v>41</v>
      </c>
      <c r="B20" t="s">
        <v>11</v>
      </c>
      <c r="C20">
        <v>10</v>
      </c>
      <c r="D20" t="s">
        <v>19</v>
      </c>
      <c r="E20">
        <v>46</v>
      </c>
      <c r="F20" s="1">
        <v>10</v>
      </c>
      <c r="G20" t="s">
        <v>32</v>
      </c>
      <c r="H20" s="2">
        <v>27.108000000000001</v>
      </c>
      <c r="I20" s="2">
        <v>36.443600000000004</v>
      </c>
      <c r="J20">
        <v>620</v>
      </c>
      <c r="K20" s="2">
        <f>Main_Data[[#This Row],[Current Stock]]*Main_Data[[#This Row],[Unit Cost]]</f>
        <v>271.08</v>
      </c>
      <c r="L20" s="3">
        <f>(Main_Data[[#This Row],[Unit Selling Price]] - Main_Data[[#This Row],[Unit Cost]]) /Main_Data[[#This Row],[Unit Selling Price]]</f>
        <v>0.25616569164407471</v>
      </c>
      <c r="M20" s="2">
        <f>(Main_Data[[#This Row],[Total Units Sold]] *Main_Data[[#This Row],[Unit Selling Price]])-Main_Data[[#This Row],[Total Units Sold]]*Main_Data[[#This Row],[Unit Cost]]</f>
        <v>5788.0720000000038</v>
      </c>
      <c r="N20" s="4">
        <f>Main_Data[[#This Row],[Total Units Sold]] / IF(Main_Data[[#This Row],[Current Stock]]=0, 1,Main_Data[[#This Row],[Current Stock]])</f>
        <v>62</v>
      </c>
      <c r="O20" s="2" t="str">
        <f>IF(Main_Data[[#This Row],[Unit Cost]] &gt; Main_Data[[#This Row],[Unit Selling Price]], "LOSS MAKER", "Profitable")</f>
        <v>Profitable</v>
      </c>
      <c r="P20" s="2" t="str">
        <f>IF(Main_Data[[#This Row],[Current Stock]] &lt;= Main_Data[[#This Row],[Reorder Quantity]], "Reorder", "No")</f>
        <v>Reorder</v>
      </c>
    </row>
    <row r="21" spans="1:16" x14ac:dyDescent="0.3">
      <c r="A21" t="s">
        <v>42</v>
      </c>
      <c r="B21" t="s">
        <v>15</v>
      </c>
      <c r="C21">
        <v>48</v>
      </c>
      <c r="D21" t="s">
        <v>31</v>
      </c>
      <c r="E21">
        <v>94</v>
      </c>
      <c r="F21" s="1">
        <v>11</v>
      </c>
      <c r="G21" t="s">
        <v>25</v>
      </c>
      <c r="H21" s="2">
        <v>82.3733</v>
      </c>
      <c r="I21" s="2">
        <v>51.123899999999999</v>
      </c>
      <c r="J21">
        <v>187</v>
      </c>
      <c r="K21" s="2">
        <f>Main_Data[[#This Row],[Current Stock]]*Main_Data[[#This Row],[Unit Cost]]</f>
        <v>3953.9184</v>
      </c>
      <c r="L21" s="3">
        <f>(Main_Data[[#This Row],[Unit Selling Price]] - Main_Data[[#This Row],[Unit Cost]]) /Main_Data[[#This Row],[Unit Selling Price]]</f>
        <v>-0.61124835937790356</v>
      </c>
      <c r="M21" s="2">
        <f>(Main_Data[[#This Row],[Total Units Sold]] *Main_Data[[#This Row],[Unit Selling Price]])-Main_Data[[#This Row],[Total Units Sold]]*Main_Data[[#This Row],[Unit Cost]]</f>
        <v>-5843.6378000000004</v>
      </c>
      <c r="N21" s="4">
        <f>Main_Data[[#This Row],[Total Units Sold]] / IF(Main_Data[[#This Row],[Current Stock]]=0, 1,Main_Data[[#This Row],[Current Stock]])</f>
        <v>3.8958333333333335</v>
      </c>
      <c r="O21" s="2" t="str">
        <f>IF(Main_Data[[#This Row],[Unit Cost]] &gt; Main_Data[[#This Row],[Unit Selling Price]], "LOSS MAKER", "Profitable")</f>
        <v>LOSS MAKER</v>
      </c>
      <c r="P21" s="2" t="str">
        <f>IF(Main_Data[[#This Row],[Current Stock]] &lt;= Main_Data[[#This Row],[Reorder Quantity]], "Reorder", "No")</f>
        <v>Reorder</v>
      </c>
    </row>
    <row r="22" spans="1:16" x14ac:dyDescent="0.3">
      <c r="A22" t="s">
        <v>43</v>
      </c>
      <c r="B22" t="s">
        <v>15</v>
      </c>
      <c r="C22">
        <v>27</v>
      </c>
      <c r="D22" t="s">
        <v>31</v>
      </c>
      <c r="E22">
        <v>68</v>
      </c>
      <c r="F22" s="1">
        <v>12</v>
      </c>
      <c r="G22" t="s">
        <v>17</v>
      </c>
      <c r="H22" s="2">
        <v>65.686300000000003</v>
      </c>
      <c r="I22" s="2">
        <v>96.341099999999997</v>
      </c>
      <c r="J22">
        <v>320</v>
      </c>
      <c r="K22" s="2">
        <f>Main_Data[[#This Row],[Current Stock]]*Main_Data[[#This Row],[Unit Cost]]</f>
        <v>1773.5301000000002</v>
      </c>
      <c r="L22" s="3">
        <f>(Main_Data[[#This Row],[Unit Selling Price]] - Main_Data[[#This Row],[Unit Cost]]) /Main_Data[[#This Row],[Unit Selling Price]]</f>
        <v>0.318190263553146</v>
      </c>
      <c r="M22" s="2">
        <f>(Main_Data[[#This Row],[Total Units Sold]] *Main_Data[[#This Row],[Unit Selling Price]])-Main_Data[[#This Row],[Total Units Sold]]*Main_Data[[#This Row],[Unit Cost]]</f>
        <v>9809.5359999999964</v>
      </c>
      <c r="N22" s="4">
        <f>Main_Data[[#This Row],[Total Units Sold]] / IF(Main_Data[[#This Row],[Current Stock]]=0, 1,Main_Data[[#This Row],[Current Stock]])</f>
        <v>11.851851851851851</v>
      </c>
      <c r="O22" s="2" t="str">
        <f>IF(Main_Data[[#This Row],[Unit Cost]] &gt; Main_Data[[#This Row],[Unit Selling Price]], "LOSS MAKER", "Profitable")</f>
        <v>Profitable</v>
      </c>
      <c r="P22" s="2" t="str">
        <f>IF(Main_Data[[#This Row],[Current Stock]] &lt;= Main_Data[[#This Row],[Reorder Quantity]], "Reorder", "No")</f>
        <v>Reorder</v>
      </c>
    </row>
    <row r="23" spans="1:16" x14ac:dyDescent="0.3">
      <c r="A23" t="s">
        <v>44</v>
      </c>
      <c r="B23" t="s">
        <v>28</v>
      </c>
      <c r="C23">
        <v>69</v>
      </c>
      <c r="D23" t="s">
        <v>31</v>
      </c>
      <c r="E23">
        <v>7</v>
      </c>
      <c r="F23" s="1">
        <v>25</v>
      </c>
      <c r="G23" t="s">
        <v>20</v>
      </c>
      <c r="H23" s="2">
        <v>61.735700000000001</v>
      </c>
      <c r="I23" s="2">
        <v>84.893900000000002</v>
      </c>
      <c r="J23">
        <v>601</v>
      </c>
      <c r="K23" s="2">
        <f>Main_Data[[#This Row],[Current Stock]]*Main_Data[[#This Row],[Unit Cost]]</f>
        <v>4259.7633000000005</v>
      </c>
      <c r="L23" s="3">
        <f>(Main_Data[[#This Row],[Unit Selling Price]] - Main_Data[[#This Row],[Unit Cost]]) /Main_Data[[#This Row],[Unit Selling Price]]</f>
        <v>0.27278991776794326</v>
      </c>
      <c r="M23" s="2">
        <f>(Main_Data[[#This Row],[Total Units Sold]] *Main_Data[[#This Row],[Unit Selling Price]])-Main_Data[[#This Row],[Total Units Sold]]*Main_Data[[#This Row],[Unit Cost]]</f>
        <v>13918.078199999996</v>
      </c>
      <c r="N23" s="4">
        <f>Main_Data[[#This Row],[Total Units Sold]] / IF(Main_Data[[#This Row],[Current Stock]]=0, 1,Main_Data[[#This Row],[Current Stock]])</f>
        <v>8.7101449275362324</v>
      </c>
      <c r="O23" s="2" t="str">
        <f>IF(Main_Data[[#This Row],[Unit Cost]] &gt; Main_Data[[#This Row],[Unit Selling Price]], "LOSS MAKER", "Profitable")</f>
        <v>Profitable</v>
      </c>
      <c r="P23" s="2" t="str">
        <f>IF(Main_Data[[#This Row],[Current Stock]] &lt;= Main_Data[[#This Row],[Reorder Quantity]], "Reorder", "No")</f>
        <v>No</v>
      </c>
    </row>
    <row r="24" spans="1:16" x14ac:dyDescent="0.3">
      <c r="A24" t="s">
        <v>45</v>
      </c>
      <c r="B24" t="s">
        <v>11</v>
      </c>
      <c r="C24">
        <v>71</v>
      </c>
      <c r="D24" t="s">
        <v>19</v>
      </c>
      <c r="E24">
        <v>63</v>
      </c>
      <c r="F24" s="1">
        <v>1</v>
      </c>
      <c r="G24" t="s">
        <v>25</v>
      </c>
      <c r="H24" s="2">
        <v>50.120800000000003</v>
      </c>
      <c r="I24" s="2">
        <v>27.6798</v>
      </c>
      <c r="J24">
        <v>884</v>
      </c>
      <c r="K24" s="2">
        <f>Main_Data[[#This Row],[Current Stock]]*Main_Data[[#This Row],[Unit Cost]]</f>
        <v>3558.5768000000003</v>
      </c>
      <c r="L24" s="3">
        <f>(Main_Data[[#This Row],[Unit Selling Price]] - Main_Data[[#This Row],[Unit Cost]]) /Main_Data[[#This Row],[Unit Selling Price]]</f>
        <v>-0.81073562670250521</v>
      </c>
      <c r="M24" s="2">
        <f>(Main_Data[[#This Row],[Total Units Sold]] *Main_Data[[#This Row],[Unit Selling Price]])-Main_Data[[#This Row],[Total Units Sold]]*Main_Data[[#This Row],[Unit Cost]]</f>
        <v>-19837.843999999997</v>
      </c>
      <c r="N24" s="4">
        <f>Main_Data[[#This Row],[Total Units Sold]] / IF(Main_Data[[#This Row],[Current Stock]]=0, 1,Main_Data[[#This Row],[Current Stock]])</f>
        <v>12.450704225352112</v>
      </c>
      <c r="O24" s="2" t="str">
        <f>IF(Main_Data[[#This Row],[Unit Cost]] &gt; Main_Data[[#This Row],[Unit Selling Price]], "LOSS MAKER", "Profitable")</f>
        <v>LOSS MAKER</v>
      </c>
      <c r="P24" s="2" t="str">
        <f>IF(Main_Data[[#This Row],[Current Stock]] &lt;= Main_Data[[#This Row],[Reorder Quantity]], "Reorder", "No")</f>
        <v>No</v>
      </c>
    </row>
    <row r="25" spans="1:16" x14ac:dyDescent="0.3">
      <c r="A25" t="s">
        <v>46</v>
      </c>
      <c r="B25" t="s">
        <v>28</v>
      </c>
      <c r="C25">
        <v>84</v>
      </c>
      <c r="D25" t="s">
        <v>19</v>
      </c>
      <c r="E25">
        <v>29</v>
      </c>
      <c r="F25" s="1">
        <v>5</v>
      </c>
      <c r="G25" t="s">
        <v>20</v>
      </c>
      <c r="H25" s="2">
        <v>98.61</v>
      </c>
      <c r="I25" s="2">
        <v>4.3243</v>
      </c>
      <c r="J25">
        <v>391</v>
      </c>
      <c r="K25" s="2">
        <f>Main_Data[[#This Row],[Current Stock]]*Main_Data[[#This Row],[Unit Cost]]</f>
        <v>8283.24</v>
      </c>
      <c r="L25" s="3">
        <f>(Main_Data[[#This Row],[Unit Selling Price]] - Main_Data[[#This Row],[Unit Cost]]) /Main_Data[[#This Row],[Unit Selling Price]]</f>
        <v>-21.803690770760586</v>
      </c>
      <c r="M25" s="2">
        <f>(Main_Data[[#This Row],[Total Units Sold]] *Main_Data[[#This Row],[Unit Selling Price]])-Main_Data[[#This Row],[Total Units Sold]]*Main_Data[[#This Row],[Unit Cost]]</f>
        <v>-36865.708700000003</v>
      </c>
      <c r="N25" s="4">
        <f>Main_Data[[#This Row],[Total Units Sold]] / IF(Main_Data[[#This Row],[Current Stock]]=0, 1,Main_Data[[#This Row],[Current Stock]])</f>
        <v>4.6547619047619051</v>
      </c>
      <c r="O25" s="2" t="str">
        <f>IF(Main_Data[[#This Row],[Unit Cost]] &gt; Main_Data[[#This Row],[Unit Selling Price]], "LOSS MAKER", "Profitable")</f>
        <v>LOSS MAKER</v>
      </c>
      <c r="P25" s="2" t="str">
        <f>IF(Main_Data[[#This Row],[Current Stock]] &lt;= Main_Data[[#This Row],[Reorder Quantity]], "Reorder", "No")</f>
        <v>No</v>
      </c>
    </row>
    <row r="26" spans="1:16" x14ac:dyDescent="0.3">
      <c r="A26" t="s">
        <v>47</v>
      </c>
      <c r="B26" t="s">
        <v>11</v>
      </c>
      <c r="C26">
        <v>4</v>
      </c>
      <c r="D26" t="s">
        <v>24</v>
      </c>
      <c r="E26">
        <v>2</v>
      </c>
      <c r="F26" s="1">
        <v>26</v>
      </c>
      <c r="G26" t="s">
        <v>32</v>
      </c>
      <c r="H26" s="2">
        <v>40.382399999999997</v>
      </c>
      <c r="I26" s="2">
        <v>4.1562999999999999</v>
      </c>
      <c r="J26">
        <v>209</v>
      </c>
      <c r="K26" s="2">
        <f>Main_Data[[#This Row],[Current Stock]]*Main_Data[[#This Row],[Unit Cost]]</f>
        <v>161.52959999999999</v>
      </c>
      <c r="L26" s="3">
        <f>(Main_Data[[#This Row],[Unit Selling Price]] - Main_Data[[#This Row],[Unit Cost]]) /Main_Data[[#This Row],[Unit Selling Price]]</f>
        <v>-8.7159492818131508</v>
      </c>
      <c r="M26" s="2">
        <f>(Main_Data[[#This Row],[Total Units Sold]] *Main_Data[[#This Row],[Unit Selling Price]])-Main_Data[[#This Row],[Total Units Sold]]*Main_Data[[#This Row],[Unit Cost]]</f>
        <v>-7571.2548999999999</v>
      </c>
      <c r="N26" s="4">
        <f>Main_Data[[#This Row],[Total Units Sold]] / IF(Main_Data[[#This Row],[Current Stock]]=0, 1,Main_Data[[#This Row],[Current Stock]])</f>
        <v>52.25</v>
      </c>
      <c r="O26" s="2" t="str">
        <f>IF(Main_Data[[#This Row],[Unit Cost]] &gt; Main_Data[[#This Row],[Unit Selling Price]], "LOSS MAKER", "Profitable")</f>
        <v>LOSS MAKER</v>
      </c>
      <c r="P26" s="2" t="str">
        <f>IF(Main_Data[[#This Row],[Current Stock]] &lt;= Main_Data[[#This Row],[Reorder Quantity]], "Reorder", "No")</f>
        <v>No</v>
      </c>
    </row>
    <row r="27" spans="1:16" x14ac:dyDescent="0.3">
      <c r="A27" t="s">
        <v>48</v>
      </c>
      <c r="B27" t="s">
        <v>11</v>
      </c>
      <c r="C27">
        <v>82</v>
      </c>
      <c r="D27" t="s">
        <v>19</v>
      </c>
      <c r="E27">
        <v>52</v>
      </c>
      <c r="F27" s="1">
        <v>11</v>
      </c>
      <c r="G27" t="s">
        <v>25</v>
      </c>
      <c r="H27" s="2">
        <v>78.2804</v>
      </c>
      <c r="I27" s="2">
        <v>39.629300000000001</v>
      </c>
      <c r="J27">
        <v>142</v>
      </c>
      <c r="K27" s="2">
        <f>Main_Data[[#This Row],[Current Stock]]*Main_Data[[#This Row],[Unit Cost]]</f>
        <v>6418.9928</v>
      </c>
      <c r="L27" s="3">
        <f>(Main_Data[[#This Row],[Unit Selling Price]] - Main_Data[[#This Row],[Unit Cost]]) /Main_Data[[#This Row],[Unit Selling Price]]</f>
        <v>-0.97531624328464039</v>
      </c>
      <c r="M27" s="2">
        <f>(Main_Data[[#This Row],[Total Units Sold]] *Main_Data[[#This Row],[Unit Selling Price]])-Main_Data[[#This Row],[Total Units Sold]]*Main_Data[[#This Row],[Unit Cost]]</f>
        <v>-5488.4562000000005</v>
      </c>
      <c r="N27" s="4">
        <f>Main_Data[[#This Row],[Total Units Sold]] / IF(Main_Data[[#This Row],[Current Stock]]=0, 1,Main_Data[[#This Row],[Current Stock]])</f>
        <v>1.7317073170731707</v>
      </c>
      <c r="O27" s="2" t="str">
        <f>IF(Main_Data[[#This Row],[Unit Cost]] &gt; Main_Data[[#This Row],[Unit Selling Price]], "LOSS MAKER", "Profitable")</f>
        <v>LOSS MAKER</v>
      </c>
      <c r="P27" s="2" t="str">
        <f>IF(Main_Data[[#This Row],[Current Stock]] &lt;= Main_Data[[#This Row],[Reorder Quantity]], "Reorder", "No")</f>
        <v>No</v>
      </c>
    </row>
    <row r="28" spans="1:16" x14ac:dyDescent="0.3">
      <c r="A28" t="s">
        <v>49</v>
      </c>
      <c r="B28" t="s">
        <v>11</v>
      </c>
      <c r="C28">
        <v>59</v>
      </c>
      <c r="D28" t="s">
        <v>24</v>
      </c>
      <c r="E28">
        <v>48</v>
      </c>
      <c r="F28" s="1">
        <v>16</v>
      </c>
      <c r="G28" t="s">
        <v>32</v>
      </c>
      <c r="H28" s="2">
        <v>15.972200000000001</v>
      </c>
      <c r="I28" s="2">
        <v>97.446899999999999</v>
      </c>
      <c r="J28">
        <v>353</v>
      </c>
      <c r="K28" s="2">
        <f>Main_Data[[#This Row],[Current Stock]]*Main_Data[[#This Row],[Unit Cost]]</f>
        <v>942.35980000000006</v>
      </c>
      <c r="L28" s="3">
        <f>(Main_Data[[#This Row],[Unit Selling Price]] - Main_Data[[#This Row],[Unit Cost]]) /Main_Data[[#This Row],[Unit Selling Price]]</f>
        <v>0.8360932979910084</v>
      </c>
      <c r="M28" s="2">
        <f>(Main_Data[[#This Row],[Total Units Sold]] *Main_Data[[#This Row],[Unit Selling Price]])-Main_Data[[#This Row],[Total Units Sold]]*Main_Data[[#This Row],[Unit Cost]]</f>
        <v>28760.569100000001</v>
      </c>
      <c r="N28" s="4">
        <f>Main_Data[[#This Row],[Total Units Sold]] / IF(Main_Data[[#This Row],[Current Stock]]=0, 1,Main_Data[[#This Row],[Current Stock]])</f>
        <v>5.9830508474576272</v>
      </c>
      <c r="O28" s="2" t="str">
        <f>IF(Main_Data[[#This Row],[Unit Cost]] &gt; Main_Data[[#This Row],[Unit Selling Price]], "LOSS MAKER", "Profitable")</f>
        <v>Profitable</v>
      </c>
      <c r="P28" s="2" t="str">
        <f>IF(Main_Data[[#This Row],[Current Stock]] &lt;= Main_Data[[#This Row],[Reorder Quantity]], "Reorder", "No")</f>
        <v>No</v>
      </c>
    </row>
    <row r="29" spans="1:16" x14ac:dyDescent="0.3">
      <c r="A29" t="s">
        <v>50</v>
      </c>
      <c r="B29" t="s">
        <v>28</v>
      </c>
      <c r="C29">
        <v>47</v>
      </c>
      <c r="D29" t="s">
        <v>12</v>
      </c>
      <c r="E29">
        <v>62</v>
      </c>
      <c r="F29" s="1">
        <v>9</v>
      </c>
      <c r="G29" t="s">
        <v>20</v>
      </c>
      <c r="H29" s="2">
        <v>10.5282</v>
      </c>
      <c r="I29" s="2">
        <v>92.557400000000001</v>
      </c>
      <c r="J29">
        <v>352</v>
      </c>
      <c r="K29" s="2">
        <f>Main_Data[[#This Row],[Current Stock]]*Main_Data[[#This Row],[Unit Cost]]</f>
        <v>494.8254</v>
      </c>
      <c r="L29" s="3">
        <f>(Main_Data[[#This Row],[Unit Selling Price]] - Main_Data[[#This Row],[Unit Cost]]) /Main_Data[[#This Row],[Unit Selling Price]]</f>
        <v>0.88625220673873728</v>
      </c>
      <c r="M29" s="2">
        <f>(Main_Data[[#This Row],[Total Units Sold]] *Main_Data[[#This Row],[Unit Selling Price]])-Main_Data[[#This Row],[Total Units Sold]]*Main_Data[[#This Row],[Unit Cost]]</f>
        <v>28874.278399999999</v>
      </c>
      <c r="N29" s="4">
        <f>Main_Data[[#This Row],[Total Units Sold]] / IF(Main_Data[[#This Row],[Current Stock]]=0, 1,Main_Data[[#This Row],[Current Stock]])</f>
        <v>7.4893617021276597</v>
      </c>
      <c r="O29" s="2" t="str">
        <f>IF(Main_Data[[#This Row],[Unit Cost]] &gt; Main_Data[[#This Row],[Unit Selling Price]], "LOSS MAKER", "Profitable")</f>
        <v>Profitable</v>
      </c>
      <c r="P29" s="2" t="str">
        <f>IF(Main_Data[[#This Row],[Current Stock]] &lt;= Main_Data[[#This Row],[Reorder Quantity]], "Reorder", "No")</f>
        <v>Reorder</v>
      </c>
    </row>
    <row r="30" spans="1:16" x14ac:dyDescent="0.3">
      <c r="A30" t="s">
        <v>51</v>
      </c>
      <c r="B30" t="s">
        <v>28</v>
      </c>
      <c r="C30">
        <v>48</v>
      </c>
      <c r="D30" t="s">
        <v>12</v>
      </c>
      <c r="E30">
        <v>24</v>
      </c>
      <c r="F30" s="1">
        <v>15</v>
      </c>
      <c r="G30" t="s">
        <v>17</v>
      </c>
      <c r="H30" s="2">
        <v>59.429400000000001</v>
      </c>
      <c r="I30" s="2">
        <v>2.3973</v>
      </c>
      <c r="J30">
        <v>394</v>
      </c>
      <c r="K30" s="2">
        <f>Main_Data[[#This Row],[Current Stock]]*Main_Data[[#This Row],[Unit Cost]]</f>
        <v>2852.6112000000003</v>
      </c>
      <c r="L30" s="3">
        <f>(Main_Data[[#This Row],[Unit Selling Price]] - Main_Data[[#This Row],[Unit Cost]]) /Main_Data[[#This Row],[Unit Selling Price]]</f>
        <v>-23.790138906269554</v>
      </c>
      <c r="M30" s="2">
        <f>(Main_Data[[#This Row],[Total Units Sold]] *Main_Data[[#This Row],[Unit Selling Price]])-Main_Data[[#This Row],[Total Units Sold]]*Main_Data[[#This Row],[Unit Cost]]</f>
        <v>-22470.647400000002</v>
      </c>
      <c r="N30" s="4">
        <f>Main_Data[[#This Row],[Total Units Sold]] / IF(Main_Data[[#This Row],[Current Stock]]=0, 1,Main_Data[[#This Row],[Current Stock]])</f>
        <v>8.2083333333333339</v>
      </c>
      <c r="O30" s="2" t="str">
        <f>IF(Main_Data[[#This Row],[Unit Cost]] &gt; Main_Data[[#This Row],[Unit Selling Price]], "LOSS MAKER", "Profitable")</f>
        <v>LOSS MAKER</v>
      </c>
      <c r="P30" s="2" t="str">
        <f>IF(Main_Data[[#This Row],[Current Stock]] &lt;= Main_Data[[#This Row],[Reorder Quantity]], "Reorder", "No")</f>
        <v>No</v>
      </c>
    </row>
    <row r="31" spans="1:16" x14ac:dyDescent="0.3">
      <c r="A31" t="s">
        <v>52</v>
      </c>
      <c r="B31" t="s">
        <v>28</v>
      </c>
      <c r="C31">
        <v>45</v>
      </c>
      <c r="D31" t="s">
        <v>19</v>
      </c>
      <c r="E31">
        <v>67</v>
      </c>
      <c r="F31" s="1">
        <v>5</v>
      </c>
      <c r="G31" t="s">
        <v>17</v>
      </c>
      <c r="H31" s="2">
        <v>39.292900000000003</v>
      </c>
      <c r="I31" s="2">
        <v>63.447600000000001</v>
      </c>
      <c r="J31">
        <v>253</v>
      </c>
      <c r="K31" s="2">
        <f>Main_Data[[#This Row],[Current Stock]]*Main_Data[[#This Row],[Unit Cost]]</f>
        <v>1768.1805000000002</v>
      </c>
      <c r="L31" s="3">
        <f>(Main_Data[[#This Row],[Unit Selling Price]] - Main_Data[[#This Row],[Unit Cost]]) /Main_Data[[#This Row],[Unit Selling Price]]</f>
        <v>0.38070313140292145</v>
      </c>
      <c r="M31" s="2">
        <f>(Main_Data[[#This Row],[Total Units Sold]] *Main_Data[[#This Row],[Unit Selling Price]])-Main_Data[[#This Row],[Total Units Sold]]*Main_Data[[#This Row],[Unit Cost]]</f>
        <v>6111.1390999999985</v>
      </c>
      <c r="N31" s="4">
        <f>Main_Data[[#This Row],[Total Units Sold]] / IF(Main_Data[[#This Row],[Current Stock]]=0, 1,Main_Data[[#This Row],[Current Stock]])</f>
        <v>5.6222222222222218</v>
      </c>
      <c r="O31" s="2" t="str">
        <f>IF(Main_Data[[#This Row],[Unit Cost]] &gt; Main_Data[[#This Row],[Unit Selling Price]], "LOSS MAKER", "Profitable")</f>
        <v>Profitable</v>
      </c>
      <c r="P31" s="2" t="str">
        <f>IF(Main_Data[[#This Row],[Current Stock]] &lt;= Main_Data[[#This Row],[Reorder Quantity]], "Reorder", "No")</f>
        <v>Reorder</v>
      </c>
    </row>
    <row r="32" spans="1:16" x14ac:dyDescent="0.3">
      <c r="A32" t="s">
        <v>53</v>
      </c>
      <c r="B32" t="s">
        <v>11</v>
      </c>
      <c r="C32">
        <v>60</v>
      </c>
      <c r="D32" t="s">
        <v>19</v>
      </c>
      <c r="E32">
        <v>35</v>
      </c>
      <c r="F32" s="1">
        <v>26</v>
      </c>
      <c r="G32" t="s">
        <v>25</v>
      </c>
      <c r="H32" s="2">
        <v>51.634900000000002</v>
      </c>
      <c r="I32" s="2">
        <v>8.0228999999999999</v>
      </c>
      <c r="J32">
        <v>327</v>
      </c>
      <c r="K32" s="2">
        <f>Main_Data[[#This Row],[Current Stock]]*Main_Data[[#This Row],[Unit Cost]]</f>
        <v>3098.0940000000001</v>
      </c>
      <c r="L32" s="3">
        <f>(Main_Data[[#This Row],[Unit Selling Price]] - Main_Data[[#This Row],[Unit Cost]]) /Main_Data[[#This Row],[Unit Selling Price]]</f>
        <v>-5.4359396228296504</v>
      </c>
      <c r="M32" s="2">
        <f>(Main_Data[[#This Row],[Total Units Sold]] *Main_Data[[#This Row],[Unit Selling Price]])-Main_Data[[#This Row],[Total Units Sold]]*Main_Data[[#This Row],[Unit Cost]]</f>
        <v>-14261.124</v>
      </c>
      <c r="N32" s="4">
        <f>Main_Data[[#This Row],[Total Units Sold]] / IF(Main_Data[[#This Row],[Current Stock]]=0, 1,Main_Data[[#This Row],[Current Stock]])</f>
        <v>5.45</v>
      </c>
      <c r="O32" s="2" t="str">
        <f>IF(Main_Data[[#This Row],[Unit Cost]] &gt; Main_Data[[#This Row],[Unit Selling Price]], "LOSS MAKER", "Profitable")</f>
        <v>LOSS MAKER</v>
      </c>
      <c r="P32" s="2" t="str">
        <f>IF(Main_Data[[#This Row],[Current Stock]] &lt;= Main_Data[[#This Row],[Reorder Quantity]], "Reorder", "No")</f>
        <v>No</v>
      </c>
    </row>
    <row r="33" spans="1:16" x14ac:dyDescent="0.3">
      <c r="A33" t="s">
        <v>54</v>
      </c>
      <c r="B33" t="s">
        <v>15</v>
      </c>
      <c r="C33">
        <v>6</v>
      </c>
      <c r="D33" t="s">
        <v>31</v>
      </c>
      <c r="E33">
        <v>44</v>
      </c>
      <c r="F33" s="1">
        <v>17</v>
      </c>
      <c r="G33" t="s">
        <v>13</v>
      </c>
      <c r="H33" s="2">
        <v>60.251100000000001</v>
      </c>
      <c r="I33" s="2">
        <v>50.8474</v>
      </c>
      <c r="J33">
        <v>168</v>
      </c>
      <c r="K33" s="2">
        <f>Main_Data[[#This Row],[Current Stock]]*Main_Data[[#This Row],[Unit Cost]]</f>
        <v>361.50659999999999</v>
      </c>
      <c r="L33" s="3">
        <f>(Main_Data[[#This Row],[Unit Selling Price]] - Main_Data[[#This Row],[Unit Cost]]) /Main_Data[[#This Row],[Unit Selling Price]]</f>
        <v>-0.18493964293159534</v>
      </c>
      <c r="M33" s="2">
        <f>(Main_Data[[#This Row],[Total Units Sold]] *Main_Data[[#This Row],[Unit Selling Price]])-Main_Data[[#This Row],[Total Units Sold]]*Main_Data[[#This Row],[Unit Cost]]</f>
        <v>-1579.8216000000011</v>
      </c>
      <c r="N33" s="4">
        <f>Main_Data[[#This Row],[Total Units Sold]] / IF(Main_Data[[#This Row],[Current Stock]]=0, 1,Main_Data[[#This Row],[Current Stock]])</f>
        <v>28</v>
      </c>
      <c r="O33" s="2" t="str">
        <f>IF(Main_Data[[#This Row],[Unit Cost]] &gt; Main_Data[[#This Row],[Unit Selling Price]], "LOSS MAKER", "Profitable")</f>
        <v>LOSS MAKER</v>
      </c>
      <c r="P33" s="2" t="str">
        <f>IF(Main_Data[[#This Row],[Current Stock]] &lt;= Main_Data[[#This Row],[Reorder Quantity]], "Reorder", "No")</f>
        <v>Reorder</v>
      </c>
    </row>
    <row r="34" spans="1:16" x14ac:dyDescent="0.3">
      <c r="A34" t="s">
        <v>55</v>
      </c>
      <c r="B34" t="s">
        <v>15</v>
      </c>
      <c r="C34">
        <v>89</v>
      </c>
      <c r="D34" t="s">
        <v>19</v>
      </c>
      <c r="E34">
        <v>64</v>
      </c>
      <c r="F34" s="1">
        <v>13</v>
      </c>
      <c r="G34" t="s">
        <v>13</v>
      </c>
      <c r="H34" s="2">
        <v>29.692499999999999</v>
      </c>
      <c r="I34" s="2">
        <v>79.209900000000005</v>
      </c>
      <c r="J34">
        <v>781</v>
      </c>
      <c r="K34" s="2">
        <f>Main_Data[[#This Row],[Current Stock]]*Main_Data[[#This Row],[Unit Cost]]</f>
        <v>2642.6324999999997</v>
      </c>
      <c r="L34" s="3">
        <f>(Main_Data[[#This Row],[Unit Selling Price]] - Main_Data[[#This Row],[Unit Cost]]) /Main_Data[[#This Row],[Unit Selling Price]]</f>
        <v>0.62514155427541263</v>
      </c>
      <c r="M34" s="2">
        <f>(Main_Data[[#This Row],[Total Units Sold]] *Main_Data[[#This Row],[Unit Selling Price]])-Main_Data[[#This Row],[Total Units Sold]]*Main_Data[[#This Row],[Unit Cost]]</f>
        <v>38673.089400000004</v>
      </c>
      <c r="N34" s="4">
        <f>Main_Data[[#This Row],[Total Units Sold]] / IF(Main_Data[[#This Row],[Current Stock]]=0, 1,Main_Data[[#This Row],[Current Stock]])</f>
        <v>8.7752808988764048</v>
      </c>
      <c r="O34" s="2" t="str">
        <f>IF(Main_Data[[#This Row],[Unit Cost]] &gt; Main_Data[[#This Row],[Unit Selling Price]], "LOSS MAKER", "Profitable")</f>
        <v>Profitable</v>
      </c>
      <c r="P34" s="2" t="str">
        <f>IF(Main_Data[[#This Row],[Current Stock]] &lt;= Main_Data[[#This Row],[Reorder Quantity]], "Reorder", "No")</f>
        <v>No</v>
      </c>
    </row>
    <row r="35" spans="1:16" x14ac:dyDescent="0.3">
      <c r="A35" t="s">
        <v>56</v>
      </c>
      <c r="B35" t="s">
        <v>28</v>
      </c>
      <c r="C35">
        <v>4</v>
      </c>
      <c r="D35" t="s">
        <v>31</v>
      </c>
      <c r="E35">
        <v>95</v>
      </c>
      <c r="F35" s="1">
        <v>17</v>
      </c>
      <c r="G35" t="s">
        <v>20</v>
      </c>
      <c r="H35" s="2">
        <v>23.853400000000001</v>
      </c>
      <c r="I35" s="2">
        <v>64.795400000000001</v>
      </c>
      <c r="J35">
        <v>616</v>
      </c>
      <c r="K35" s="2">
        <f>Main_Data[[#This Row],[Current Stock]]*Main_Data[[#This Row],[Unit Cost]]</f>
        <v>95.413600000000002</v>
      </c>
      <c r="L35" s="3">
        <f>(Main_Data[[#This Row],[Unit Selling Price]] - Main_Data[[#This Row],[Unit Cost]]) /Main_Data[[#This Row],[Unit Selling Price]]</f>
        <v>0.63186584232831344</v>
      </c>
      <c r="M35" s="2">
        <f>(Main_Data[[#This Row],[Total Units Sold]] *Main_Data[[#This Row],[Unit Selling Price]])-Main_Data[[#This Row],[Total Units Sold]]*Main_Data[[#This Row],[Unit Cost]]</f>
        <v>25220.271999999997</v>
      </c>
      <c r="N35" s="4">
        <f>Main_Data[[#This Row],[Total Units Sold]] / IF(Main_Data[[#This Row],[Current Stock]]=0, 1,Main_Data[[#This Row],[Current Stock]])</f>
        <v>154</v>
      </c>
      <c r="O35" s="2" t="str">
        <f>IF(Main_Data[[#This Row],[Unit Cost]] &gt; Main_Data[[#This Row],[Unit Selling Price]], "LOSS MAKER", "Profitable")</f>
        <v>Profitable</v>
      </c>
      <c r="P35" s="2" t="str">
        <f>IF(Main_Data[[#This Row],[Current Stock]] &lt;= Main_Data[[#This Row],[Reorder Quantity]], "Reorder", "No")</f>
        <v>Reorder</v>
      </c>
    </row>
    <row r="36" spans="1:16" x14ac:dyDescent="0.3">
      <c r="A36" t="s">
        <v>57</v>
      </c>
      <c r="B36" t="s">
        <v>15</v>
      </c>
      <c r="C36">
        <v>1</v>
      </c>
      <c r="D36" t="s">
        <v>31</v>
      </c>
      <c r="E36">
        <v>21</v>
      </c>
      <c r="F36" s="1">
        <v>26</v>
      </c>
      <c r="G36" t="s">
        <v>17</v>
      </c>
      <c r="H36" s="2">
        <v>10.754300000000001</v>
      </c>
      <c r="I36" s="2">
        <v>37.467599999999997</v>
      </c>
      <c r="J36">
        <v>602</v>
      </c>
      <c r="K36" s="2">
        <f>Main_Data[[#This Row],[Current Stock]]*Main_Data[[#This Row],[Unit Cost]]</f>
        <v>10.754300000000001</v>
      </c>
      <c r="L36" s="3">
        <f>(Main_Data[[#This Row],[Unit Selling Price]] - Main_Data[[#This Row],[Unit Cost]]) /Main_Data[[#This Row],[Unit Selling Price]]</f>
        <v>0.71297067332842234</v>
      </c>
      <c r="M36" s="2">
        <f>(Main_Data[[#This Row],[Total Units Sold]] *Main_Data[[#This Row],[Unit Selling Price]])-Main_Data[[#This Row],[Total Units Sold]]*Main_Data[[#This Row],[Unit Cost]]</f>
        <v>16081.406599999998</v>
      </c>
      <c r="N36" s="4">
        <f>Main_Data[[#This Row],[Total Units Sold]] / IF(Main_Data[[#This Row],[Current Stock]]=0, 1,Main_Data[[#This Row],[Current Stock]])</f>
        <v>602</v>
      </c>
      <c r="O36" s="2" t="str">
        <f>IF(Main_Data[[#This Row],[Unit Cost]] &gt; Main_Data[[#This Row],[Unit Selling Price]], "LOSS MAKER", "Profitable")</f>
        <v>Profitable</v>
      </c>
      <c r="P36" s="2" t="str">
        <f>IF(Main_Data[[#This Row],[Current Stock]] &lt;= Main_Data[[#This Row],[Reorder Quantity]], "Reorder", "No")</f>
        <v>Reorder</v>
      </c>
    </row>
    <row r="37" spans="1:16" x14ac:dyDescent="0.3">
      <c r="A37" t="s">
        <v>58</v>
      </c>
      <c r="B37" t="s">
        <v>28</v>
      </c>
      <c r="C37">
        <v>42</v>
      </c>
      <c r="D37" t="s">
        <v>22</v>
      </c>
      <c r="E37">
        <v>85</v>
      </c>
      <c r="F37" s="1">
        <v>27</v>
      </c>
      <c r="G37" t="s">
        <v>17</v>
      </c>
      <c r="H37" s="2">
        <v>58.004800000000003</v>
      </c>
      <c r="I37" s="2">
        <v>84.957800000000006</v>
      </c>
      <c r="J37">
        <v>449</v>
      </c>
      <c r="K37" s="2">
        <f>Main_Data[[#This Row],[Current Stock]]*Main_Data[[#This Row],[Unit Cost]]</f>
        <v>2436.2016000000003</v>
      </c>
      <c r="L37" s="3">
        <f>(Main_Data[[#This Row],[Unit Selling Price]] - Main_Data[[#This Row],[Unit Cost]]) /Main_Data[[#This Row],[Unit Selling Price]]</f>
        <v>0.31725162374731924</v>
      </c>
      <c r="M37" s="2">
        <f>(Main_Data[[#This Row],[Total Units Sold]] *Main_Data[[#This Row],[Unit Selling Price]])-Main_Data[[#This Row],[Total Units Sold]]*Main_Data[[#This Row],[Unit Cost]]</f>
        <v>12101.897000000004</v>
      </c>
      <c r="N37" s="4">
        <f>Main_Data[[#This Row],[Total Units Sold]] / IF(Main_Data[[#This Row],[Current Stock]]=0, 1,Main_Data[[#This Row],[Current Stock]])</f>
        <v>10.69047619047619</v>
      </c>
      <c r="O37" s="2" t="str">
        <f>IF(Main_Data[[#This Row],[Unit Cost]] &gt; Main_Data[[#This Row],[Unit Selling Price]], "LOSS MAKER", "Profitable")</f>
        <v>Profitable</v>
      </c>
      <c r="P37" s="2" t="str">
        <f>IF(Main_Data[[#This Row],[Current Stock]] &lt;= Main_Data[[#This Row],[Reorder Quantity]], "Reorder", "No")</f>
        <v>Reorder</v>
      </c>
    </row>
    <row r="38" spans="1:16" x14ac:dyDescent="0.3">
      <c r="A38" t="s">
        <v>59</v>
      </c>
      <c r="B38" t="s">
        <v>15</v>
      </c>
      <c r="C38">
        <v>18</v>
      </c>
      <c r="D38" t="s">
        <v>22</v>
      </c>
      <c r="E38">
        <v>28</v>
      </c>
      <c r="F38" s="1">
        <v>23</v>
      </c>
      <c r="G38" t="s">
        <v>32</v>
      </c>
      <c r="H38" s="2">
        <v>45.531399999999998</v>
      </c>
      <c r="I38" s="2">
        <v>9.8130000000000006</v>
      </c>
      <c r="J38">
        <v>963</v>
      </c>
      <c r="K38" s="2">
        <f>Main_Data[[#This Row],[Current Stock]]*Main_Data[[#This Row],[Unit Cost]]</f>
        <v>819.5652</v>
      </c>
      <c r="L38" s="3">
        <f>(Main_Data[[#This Row],[Unit Selling Price]] - Main_Data[[#This Row],[Unit Cost]]) /Main_Data[[#This Row],[Unit Selling Price]]</f>
        <v>-3.6399062468154484</v>
      </c>
      <c r="M38" s="2">
        <f>(Main_Data[[#This Row],[Total Units Sold]] *Main_Data[[#This Row],[Unit Selling Price]])-Main_Data[[#This Row],[Total Units Sold]]*Main_Data[[#This Row],[Unit Cost]]</f>
        <v>-34396.819199999998</v>
      </c>
      <c r="N38" s="4">
        <f>Main_Data[[#This Row],[Total Units Sold]] / IF(Main_Data[[#This Row],[Current Stock]]=0, 1,Main_Data[[#This Row],[Current Stock]])</f>
        <v>53.5</v>
      </c>
      <c r="O38" s="2" t="str">
        <f>IF(Main_Data[[#This Row],[Unit Cost]] &gt; Main_Data[[#This Row],[Unit Selling Price]], "LOSS MAKER", "Profitable")</f>
        <v>LOSS MAKER</v>
      </c>
      <c r="P38" s="2" t="str">
        <f>IF(Main_Data[[#This Row],[Current Stock]] &lt;= Main_Data[[#This Row],[Reorder Quantity]], "Reorder", "No")</f>
        <v>Reorder</v>
      </c>
    </row>
    <row r="39" spans="1:16" x14ac:dyDescent="0.3">
      <c r="A39" t="s">
        <v>60</v>
      </c>
      <c r="B39" t="s">
        <v>15</v>
      </c>
      <c r="C39">
        <v>25</v>
      </c>
      <c r="D39" t="s">
        <v>19</v>
      </c>
      <c r="E39">
        <v>21</v>
      </c>
      <c r="F39" s="1">
        <v>8</v>
      </c>
      <c r="G39" t="s">
        <v>13</v>
      </c>
      <c r="H39" s="2">
        <v>34.343299999999999</v>
      </c>
      <c r="I39" s="2">
        <v>23.399799999999999</v>
      </c>
      <c r="J39">
        <v>963</v>
      </c>
      <c r="K39" s="2">
        <f>Main_Data[[#This Row],[Current Stock]]*Main_Data[[#This Row],[Unit Cost]]</f>
        <v>858.58249999999998</v>
      </c>
      <c r="L39" s="3">
        <f>(Main_Data[[#This Row],[Unit Selling Price]] - Main_Data[[#This Row],[Unit Cost]]) /Main_Data[[#This Row],[Unit Selling Price]]</f>
        <v>-0.46767493739262733</v>
      </c>
      <c r="M39" s="2">
        <f>(Main_Data[[#This Row],[Total Units Sold]] *Main_Data[[#This Row],[Unit Selling Price]])-Main_Data[[#This Row],[Total Units Sold]]*Main_Data[[#This Row],[Unit Cost]]</f>
        <v>-10538.590500000002</v>
      </c>
      <c r="N39" s="4">
        <f>Main_Data[[#This Row],[Total Units Sold]] / IF(Main_Data[[#This Row],[Current Stock]]=0, 1,Main_Data[[#This Row],[Current Stock]])</f>
        <v>38.520000000000003</v>
      </c>
      <c r="O39" s="2" t="str">
        <f>IF(Main_Data[[#This Row],[Unit Cost]] &gt; Main_Data[[#This Row],[Unit Selling Price]], "LOSS MAKER", "Profitable")</f>
        <v>LOSS MAKER</v>
      </c>
      <c r="P39" s="2" t="str">
        <f>IF(Main_Data[[#This Row],[Current Stock]] &lt;= Main_Data[[#This Row],[Reorder Quantity]], "Reorder", "No")</f>
        <v>No</v>
      </c>
    </row>
    <row r="40" spans="1:16" x14ac:dyDescent="0.3">
      <c r="A40" t="s">
        <v>61</v>
      </c>
      <c r="B40" t="s">
        <v>28</v>
      </c>
      <c r="C40">
        <v>69</v>
      </c>
      <c r="D40" t="s">
        <v>12</v>
      </c>
      <c r="E40">
        <v>88</v>
      </c>
      <c r="F40" s="1">
        <v>1</v>
      </c>
      <c r="G40" t="s">
        <v>20</v>
      </c>
      <c r="H40" s="2">
        <v>5.9306999999999999</v>
      </c>
      <c r="I40" s="2">
        <v>52.075899999999997</v>
      </c>
      <c r="J40">
        <v>705</v>
      </c>
      <c r="K40" s="2">
        <f>Main_Data[[#This Row],[Current Stock]]*Main_Data[[#This Row],[Unit Cost]]</f>
        <v>409.2183</v>
      </c>
      <c r="L40" s="3">
        <f>(Main_Data[[#This Row],[Unit Selling Price]] - Main_Data[[#This Row],[Unit Cost]]) /Main_Data[[#This Row],[Unit Selling Price]]</f>
        <v>0.88611430623378562</v>
      </c>
      <c r="M40" s="2">
        <f>(Main_Data[[#This Row],[Total Units Sold]] *Main_Data[[#This Row],[Unit Selling Price]])-Main_Data[[#This Row],[Total Units Sold]]*Main_Data[[#This Row],[Unit Cost]]</f>
        <v>32532.366000000002</v>
      </c>
      <c r="N40" s="4">
        <f>Main_Data[[#This Row],[Total Units Sold]] / IF(Main_Data[[#This Row],[Current Stock]]=0, 1,Main_Data[[#This Row],[Current Stock]])</f>
        <v>10.217391304347826</v>
      </c>
      <c r="O40" s="2" t="str">
        <f>IF(Main_Data[[#This Row],[Unit Cost]] &gt; Main_Data[[#This Row],[Unit Selling Price]], "LOSS MAKER", "Profitable")</f>
        <v>Profitable</v>
      </c>
      <c r="P40" s="2" t="str">
        <f>IF(Main_Data[[#This Row],[Current Stock]] &lt;= Main_Data[[#This Row],[Reorder Quantity]], "Reorder", "No")</f>
        <v>Reorder</v>
      </c>
    </row>
    <row r="41" spans="1:16" x14ac:dyDescent="0.3">
      <c r="A41" t="s">
        <v>62</v>
      </c>
      <c r="B41" t="s">
        <v>15</v>
      </c>
      <c r="C41">
        <v>78</v>
      </c>
      <c r="D41" t="s">
        <v>19</v>
      </c>
      <c r="E41">
        <v>34</v>
      </c>
      <c r="F41" s="1">
        <v>29</v>
      </c>
      <c r="G41" t="s">
        <v>32</v>
      </c>
      <c r="H41" s="2">
        <v>9.0058000000000007</v>
      </c>
      <c r="I41" s="2">
        <v>19.127500000000001</v>
      </c>
      <c r="J41">
        <v>176</v>
      </c>
      <c r="K41" s="2">
        <f>Main_Data[[#This Row],[Current Stock]]*Main_Data[[#This Row],[Unit Cost]]</f>
        <v>702.45240000000001</v>
      </c>
      <c r="L41" s="3">
        <f>(Main_Data[[#This Row],[Unit Selling Price]] - Main_Data[[#This Row],[Unit Cost]]) /Main_Data[[#This Row],[Unit Selling Price]]</f>
        <v>0.52917004313161675</v>
      </c>
      <c r="M41" s="2">
        <f>(Main_Data[[#This Row],[Total Units Sold]] *Main_Data[[#This Row],[Unit Selling Price]])-Main_Data[[#This Row],[Total Units Sold]]*Main_Data[[#This Row],[Unit Cost]]</f>
        <v>1781.4191999999998</v>
      </c>
      <c r="N41" s="4">
        <f>Main_Data[[#This Row],[Total Units Sold]] / IF(Main_Data[[#This Row],[Current Stock]]=0, 1,Main_Data[[#This Row],[Current Stock]])</f>
        <v>2.2564102564102564</v>
      </c>
      <c r="O41" s="2" t="str">
        <f>IF(Main_Data[[#This Row],[Unit Cost]] &gt; Main_Data[[#This Row],[Unit Selling Price]], "LOSS MAKER", "Profitable")</f>
        <v>Profitable</v>
      </c>
      <c r="P41" s="2" t="str">
        <f>IF(Main_Data[[#This Row],[Current Stock]] &lt;= Main_Data[[#This Row],[Reorder Quantity]], "Reorder", "No")</f>
        <v>No</v>
      </c>
    </row>
    <row r="42" spans="1:16" x14ac:dyDescent="0.3">
      <c r="A42" t="s">
        <v>63</v>
      </c>
      <c r="B42" t="s">
        <v>15</v>
      </c>
      <c r="C42">
        <v>90</v>
      </c>
      <c r="D42" t="s">
        <v>19</v>
      </c>
      <c r="E42">
        <v>39</v>
      </c>
      <c r="F42" s="1">
        <v>20</v>
      </c>
      <c r="G42" t="s">
        <v>17</v>
      </c>
      <c r="H42" s="2">
        <v>88.179400000000001</v>
      </c>
      <c r="I42" s="2">
        <v>80.541399999999996</v>
      </c>
      <c r="J42">
        <v>933</v>
      </c>
      <c r="K42" s="2">
        <f>Main_Data[[#This Row],[Current Stock]]*Main_Data[[#This Row],[Unit Cost]]</f>
        <v>7936.1459999999997</v>
      </c>
      <c r="L42" s="3">
        <f>(Main_Data[[#This Row],[Unit Selling Price]] - Main_Data[[#This Row],[Unit Cost]]) /Main_Data[[#This Row],[Unit Selling Price]]</f>
        <v>-9.4833216209303614E-2</v>
      </c>
      <c r="M42" s="2">
        <f>(Main_Data[[#This Row],[Total Units Sold]] *Main_Data[[#This Row],[Unit Selling Price]])-Main_Data[[#This Row],[Total Units Sold]]*Main_Data[[#This Row],[Unit Cost]]</f>
        <v>-7126.2540000000008</v>
      </c>
      <c r="N42" s="4">
        <f>Main_Data[[#This Row],[Total Units Sold]] / IF(Main_Data[[#This Row],[Current Stock]]=0, 1,Main_Data[[#This Row],[Current Stock]])</f>
        <v>10.366666666666667</v>
      </c>
      <c r="O42" s="2" t="str">
        <f>IF(Main_Data[[#This Row],[Unit Cost]] &gt; Main_Data[[#This Row],[Unit Selling Price]], "LOSS MAKER", "Profitable")</f>
        <v>LOSS MAKER</v>
      </c>
      <c r="P42" s="2" t="str">
        <f>IF(Main_Data[[#This Row],[Current Stock]] &lt;= Main_Data[[#This Row],[Reorder Quantity]], "Reorder", "No")</f>
        <v>No</v>
      </c>
    </row>
    <row r="43" spans="1:16" x14ac:dyDescent="0.3">
      <c r="A43" t="s">
        <v>64</v>
      </c>
      <c r="B43" t="s">
        <v>15</v>
      </c>
      <c r="C43">
        <v>64</v>
      </c>
      <c r="D43" t="s">
        <v>31</v>
      </c>
      <c r="E43">
        <v>38</v>
      </c>
      <c r="F43" s="1">
        <v>19</v>
      </c>
      <c r="G43" t="s">
        <v>25</v>
      </c>
      <c r="H43" s="2">
        <v>95.332099999999997</v>
      </c>
      <c r="I43" s="2">
        <v>99.113299999999995</v>
      </c>
      <c r="J43">
        <v>556</v>
      </c>
      <c r="K43" s="2">
        <f>Main_Data[[#This Row],[Current Stock]]*Main_Data[[#This Row],[Unit Cost]]</f>
        <v>6101.2543999999998</v>
      </c>
      <c r="L43" s="3">
        <f>(Main_Data[[#This Row],[Unit Selling Price]] - Main_Data[[#This Row],[Unit Cost]]) /Main_Data[[#This Row],[Unit Selling Price]]</f>
        <v>3.8150278519633575E-2</v>
      </c>
      <c r="M43" s="2">
        <f>(Main_Data[[#This Row],[Total Units Sold]] *Main_Data[[#This Row],[Unit Selling Price]])-Main_Data[[#This Row],[Total Units Sold]]*Main_Data[[#This Row],[Unit Cost]]</f>
        <v>2102.3472000000038</v>
      </c>
      <c r="N43" s="4">
        <f>Main_Data[[#This Row],[Total Units Sold]] / IF(Main_Data[[#This Row],[Current Stock]]=0, 1,Main_Data[[#This Row],[Current Stock]])</f>
        <v>8.6875</v>
      </c>
      <c r="O43" s="2" t="str">
        <f>IF(Main_Data[[#This Row],[Unit Cost]] &gt; Main_Data[[#This Row],[Unit Selling Price]], "LOSS MAKER", "Profitable")</f>
        <v>Profitable</v>
      </c>
      <c r="P43" s="2" t="str">
        <f>IF(Main_Data[[#This Row],[Current Stock]] &lt;= Main_Data[[#This Row],[Reorder Quantity]], "Reorder", "No")</f>
        <v>No</v>
      </c>
    </row>
    <row r="44" spans="1:16" x14ac:dyDescent="0.3">
      <c r="A44" t="s">
        <v>65</v>
      </c>
      <c r="B44" t="s">
        <v>15</v>
      </c>
      <c r="C44">
        <v>22</v>
      </c>
      <c r="D44" t="s">
        <v>24</v>
      </c>
      <c r="E44">
        <v>57</v>
      </c>
      <c r="F44" s="1">
        <v>27</v>
      </c>
      <c r="G44" t="s">
        <v>20</v>
      </c>
      <c r="H44" s="2">
        <v>96.422799999999995</v>
      </c>
      <c r="I44" s="2">
        <v>46.529200000000003</v>
      </c>
      <c r="J44">
        <v>155</v>
      </c>
      <c r="K44" s="2">
        <f>Main_Data[[#This Row],[Current Stock]]*Main_Data[[#This Row],[Unit Cost]]</f>
        <v>2121.3015999999998</v>
      </c>
      <c r="L44" s="3">
        <f>(Main_Data[[#This Row],[Unit Selling Price]] - Main_Data[[#This Row],[Unit Cost]]) /Main_Data[[#This Row],[Unit Selling Price]]</f>
        <v>-1.0723072823087436</v>
      </c>
      <c r="M44" s="2">
        <f>(Main_Data[[#This Row],[Total Units Sold]] *Main_Data[[#This Row],[Unit Selling Price]])-Main_Data[[#This Row],[Total Units Sold]]*Main_Data[[#This Row],[Unit Cost]]</f>
        <v>-7733.5079999999989</v>
      </c>
      <c r="N44" s="4">
        <f>Main_Data[[#This Row],[Total Units Sold]] / IF(Main_Data[[#This Row],[Current Stock]]=0, 1,Main_Data[[#This Row],[Current Stock]])</f>
        <v>7.0454545454545459</v>
      </c>
      <c r="O44" s="2" t="str">
        <f>IF(Main_Data[[#This Row],[Unit Cost]] &gt; Main_Data[[#This Row],[Unit Selling Price]], "LOSS MAKER", "Profitable")</f>
        <v>LOSS MAKER</v>
      </c>
      <c r="P44" s="2" t="str">
        <f>IF(Main_Data[[#This Row],[Current Stock]] &lt;= Main_Data[[#This Row],[Reorder Quantity]], "Reorder", "No")</f>
        <v>Reorder</v>
      </c>
    </row>
    <row r="45" spans="1:16" x14ac:dyDescent="0.3">
      <c r="A45" t="s">
        <v>66</v>
      </c>
      <c r="B45" t="s">
        <v>11</v>
      </c>
      <c r="C45">
        <v>36</v>
      </c>
      <c r="D45" t="s">
        <v>12</v>
      </c>
      <c r="E45">
        <v>85</v>
      </c>
      <c r="F45" s="1">
        <v>29</v>
      </c>
      <c r="G45" t="s">
        <v>20</v>
      </c>
      <c r="H45" s="2">
        <v>26.2774</v>
      </c>
      <c r="I45" s="2">
        <v>11.7433</v>
      </c>
      <c r="J45">
        <v>598</v>
      </c>
      <c r="K45" s="2">
        <f>Main_Data[[#This Row],[Current Stock]]*Main_Data[[#This Row],[Unit Cost]]</f>
        <v>945.9864</v>
      </c>
      <c r="L45" s="3">
        <f>(Main_Data[[#This Row],[Unit Selling Price]] - Main_Data[[#This Row],[Unit Cost]]) /Main_Data[[#This Row],[Unit Selling Price]]</f>
        <v>-1.2376504049117369</v>
      </c>
      <c r="M45" s="2">
        <f>(Main_Data[[#This Row],[Total Units Sold]] *Main_Data[[#This Row],[Unit Selling Price]])-Main_Data[[#This Row],[Total Units Sold]]*Main_Data[[#This Row],[Unit Cost]]</f>
        <v>-8691.3918000000012</v>
      </c>
      <c r="N45" s="4">
        <f>Main_Data[[#This Row],[Total Units Sold]] / IF(Main_Data[[#This Row],[Current Stock]]=0, 1,Main_Data[[#This Row],[Current Stock]])</f>
        <v>16.611111111111111</v>
      </c>
      <c r="O45" s="2" t="str">
        <f>IF(Main_Data[[#This Row],[Unit Cost]] &gt; Main_Data[[#This Row],[Unit Selling Price]], "LOSS MAKER", "Profitable")</f>
        <v>LOSS MAKER</v>
      </c>
      <c r="P45" s="2" t="str">
        <f>IF(Main_Data[[#This Row],[Current Stock]] &lt;= Main_Data[[#This Row],[Reorder Quantity]], "Reorder", "No")</f>
        <v>Reorder</v>
      </c>
    </row>
    <row r="46" spans="1:16" x14ac:dyDescent="0.3">
      <c r="A46" t="s">
        <v>67</v>
      </c>
      <c r="B46" t="s">
        <v>28</v>
      </c>
      <c r="C46">
        <v>13</v>
      </c>
      <c r="D46" t="s">
        <v>22</v>
      </c>
      <c r="E46">
        <v>72</v>
      </c>
      <c r="F46" s="1">
        <v>19</v>
      </c>
      <c r="G46" t="s">
        <v>32</v>
      </c>
      <c r="H46" s="2">
        <v>22.554099999999998</v>
      </c>
      <c r="I46" s="2">
        <v>51.355800000000002</v>
      </c>
      <c r="J46">
        <v>919</v>
      </c>
      <c r="K46" s="2">
        <f>Main_Data[[#This Row],[Current Stock]]*Main_Data[[#This Row],[Unit Cost]]</f>
        <v>293.20329999999996</v>
      </c>
      <c r="L46" s="3">
        <f>(Main_Data[[#This Row],[Unit Selling Price]] - Main_Data[[#This Row],[Unit Cost]]) /Main_Data[[#This Row],[Unit Selling Price]]</f>
        <v>0.56082662523025639</v>
      </c>
      <c r="M46" s="2">
        <f>(Main_Data[[#This Row],[Total Units Sold]] *Main_Data[[#This Row],[Unit Selling Price]])-Main_Data[[#This Row],[Total Units Sold]]*Main_Data[[#This Row],[Unit Cost]]</f>
        <v>26468.762300000006</v>
      </c>
      <c r="N46" s="4">
        <f>Main_Data[[#This Row],[Total Units Sold]] / IF(Main_Data[[#This Row],[Current Stock]]=0, 1,Main_Data[[#This Row],[Current Stock]])</f>
        <v>70.692307692307693</v>
      </c>
      <c r="O46" s="2" t="str">
        <f>IF(Main_Data[[#This Row],[Unit Cost]] &gt; Main_Data[[#This Row],[Unit Selling Price]], "LOSS MAKER", "Profitable")</f>
        <v>Profitable</v>
      </c>
      <c r="P46" s="2" t="str">
        <f>IF(Main_Data[[#This Row],[Current Stock]] &lt;= Main_Data[[#This Row],[Reorder Quantity]], "Reorder", "No")</f>
        <v>Reorder</v>
      </c>
    </row>
    <row r="47" spans="1:16" x14ac:dyDescent="0.3">
      <c r="A47" t="s">
        <v>68</v>
      </c>
      <c r="B47" t="s">
        <v>11</v>
      </c>
      <c r="C47">
        <v>93</v>
      </c>
      <c r="D47" t="s">
        <v>31</v>
      </c>
      <c r="E47">
        <v>52</v>
      </c>
      <c r="F47" s="1">
        <v>7</v>
      </c>
      <c r="G47" t="s">
        <v>32</v>
      </c>
      <c r="H47" s="2">
        <v>66.3125</v>
      </c>
      <c r="I47" s="2">
        <v>33.784100000000002</v>
      </c>
      <c r="J47">
        <v>24</v>
      </c>
      <c r="K47" s="2">
        <f>Main_Data[[#This Row],[Current Stock]]*Main_Data[[#This Row],[Unit Cost]]</f>
        <v>6167.0625</v>
      </c>
      <c r="L47" s="3">
        <f>(Main_Data[[#This Row],[Unit Selling Price]] - Main_Data[[#This Row],[Unit Cost]]) /Main_Data[[#This Row],[Unit Selling Price]]</f>
        <v>-0.96283162789596277</v>
      </c>
      <c r="M47" s="2">
        <f>(Main_Data[[#This Row],[Total Units Sold]] *Main_Data[[#This Row],[Unit Selling Price]])-Main_Data[[#This Row],[Total Units Sold]]*Main_Data[[#This Row],[Unit Cost]]</f>
        <v>-780.68159999999989</v>
      </c>
      <c r="N47" s="4">
        <f>Main_Data[[#This Row],[Total Units Sold]] / IF(Main_Data[[#This Row],[Current Stock]]=0, 1,Main_Data[[#This Row],[Current Stock]])</f>
        <v>0.25806451612903225</v>
      </c>
      <c r="O47" s="2" t="str">
        <f>IF(Main_Data[[#This Row],[Unit Cost]] &gt; Main_Data[[#This Row],[Unit Selling Price]], "LOSS MAKER", "Profitable")</f>
        <v>LOSS MAKER</v>
      </c>
      <c r="P47" s="2" t="str">
        <f>IF(Main_Data[[#This Row],[Current Stock]] &lt;= Main_Data[[#This Row],[Reorder Quantity]], "Reorder", "No")</f>
        <v>No</v>
      </c>
    </row>
    <row r="48" spans="1:16" x14ac:dyDescent="0.3">
      <c r="A48" t="s">
        <v>69</v>
      </c>
      <c r="B48" t="s">
        <v>11</v>
      </c>
      <c r="C48">
        <v>92</v>
      </c>
      <c r="D48" t="s">
        <v>31</v>
      </c>
      <c r="E48">
        <v>6</v>
      </c>
      <c r="F48" s="1">
        <v>29</v>
      </c>
      <c r="G48" t="s">
        <v>13</v>
      </c>
      <c r="H48" s="2">
        <v>77.322400000000002</v>
      </c>
      <c r="I48" s="2">
        <v>27.0822</v>
      </c>
      <c r="J48">
        <v>859</v>
      </c>
      <c r="K48" s="2">
        <f>Main_Data[[#This Row],[Current Stock]]*Main_Data[[#This Row],[Unit Cost]]</f>
        <v>7113.6608000000006</v>
      </c>
      <c r="L48" s="3">
        <f>(Main_Data[[#This Row],[Unit Selling Price]] - Main_Data[[#This Row],[Unit Cost]]) /Main_Data[[#This Row],[Unit Selling Price]]</f>
        <v>-1.8551003980474261</v>
      </c>
      <c r="M48" s="2">
        <f>(Main_Data[[#This Row],[Total Units Sold]] *Main_Data[[#This Row],[Unit Selling Price]])-Main_Data[[#This Row],[Total Units Sold]]*Main_Data[[#This Row],[Unit Cost]]</f>
        <v>-43156.3318</v>
      </c>
      <c r="N48" s="4">
        <f>Main_Data[[#This Row],[Total Units Sold]] / IF(Main_Data[[#This Row],[Current Stock]]=0, 1,Main_Data[[#This Row],[Current Stock]])</f>
        <v>9.3369565217391308</v>
      </c>
      <c r="O48" s="2" t="str">
        <f>IF(Main_Data[[#This Row],[Unit Cost]] &gt; Main_Data[[#This Row],[Unit Selling Price]], "LOSS MAKER", "Profitable")</f>
        <v>LOSS MAKER</v>
      </c>
      <c r="P48" s="2" t="str">
        <f>IF(Main_Data[[#This Row],[Current Stock]] &lt;= Main_Data[[#This Row],[Reorder Quantity]], "Reorder", "No")</f>
        <v>No</v>
      </c>
    </row>
    <row r="49" spans="1:16" x14ac:dyDescent="0.3">
      <c r="A49" t="s">
        <v>70</v>
      </c>
      <c r="B49" t="s">
        <v>15</v>
      </c>
      <c r="C49">
        <v>4</v>
      </c>
      <c r="D49" t="s">
        <v>19</v>
      </c>
      <c r="E49">
        <v>51</v>
      </c>
      <c r="F49" s="1">
        <v>15</v>
      </c>
      <c r="G49" t="s">
        <v>17</v>
      </c>
      <c r="H49" s="2">
        <v>19.713000000000001</v>
      </c>
      <c r="I49" s="2">
        <v>95.712100000000007</v>
      </c>
      <c r="J49">
        <v>910</v>
      </c>
      <c r="K49" s="2">
        <f>Main_Data[[#This Row],[Current Stock]]*Main_Data[[#This Row],[Unit Cost]]</f>
        <v>78.852000000000004</v>
      </c>
      <c r="L49" s="3">
        <f>(Main_Data[[#This Row],[Unit Selling Price]] - Main_Data[[#This Row],[Unit Cost]]) /Main_Data[[#This Row],[Unit Selling Price]]</f>
        <v>0.79403858028399743</v>
      </c>
      <c r="M49" s="2">
        <f>(Main_Data[[#This Row],[Total Units Sold]] *Main_Data[[#This Row],[Unit Selling Price]])-Main_Data[[#This Row],[Total Units Sold]]*Main_Data[[#This Row],[Unit Cost]]</f>
        <v>69159.181000000011</v>
      </c>
      <c r="N49" s="4">
        <f>Main_Data[[#This Row],[Total Units Sold]] / IF(Main_Data[[#This Row],[Current Stock]]=0, 1,Main_Data[[#This Row],[Current Stock]])</f>
        <v>227.5</v>
      </c>
      <c r="O49" s="2" t="str">
        <f>IF(Main_Data[[#This Row],[Unit Cost]] &gt; Main_Data[[#This Row],[Unit Selling Price]], "LOSS MAKER", "Profitable")</f>
        <v>Profitable</v>
      </c>
      <c r="P49" s="2" t="str">
        <f>IF(Main_Data[[#This Row],[Current Stock]] &lt;= Main_Data[[#This Row],[Reorder Quantity]], "Reorder", "No")</f>
        <v>Reorder</v>
      </c>
    </row>
    <row r="50" spans="1:16" x14ac:dyDescent="0.3">
      <c r="A50" t="s">
        <v>71</v>
      </c>
      <c r="B50" t="s">
        <v>11</v>
      </c>
      <c r="C50">
        <v>30</v>
      </c>
      <c r="D50" t="s">
        <v>12</v>
      </c>
      <c r="E50">
        <v>9</v>
      </c>
      <c r="F50" s="1">
        <v>16</v>
      </c>
      <c r="G50" t="s">
        <v>32</v>
      </c>
      <c r="H50" s="2">
        <v>23.1264</v>
      </c>
      <c r="I50" s="2">
        <v>76.035499999999999</v>
      </c>
      <c r="J50">
        <v>29</v>
      </c>
      <c r="K50" s="2">
        <f>Main_Data[[#This Row],[Current Stock]]*Main_Data[[#This Row],[Unit Cost]]</f>
        <v>693.79200000000003</v>
      </c>
      <c r="L50" s="3">
        <f>(Main_Data[[#This Row],[Unit Selling Price]] - Main_Data[[#This Row],[Unit Cost]]) /Main_Data[[#This Row],[Unit Selling Price]]</f>
        <v>0.69584733446876779</v>
      </c>
      <c r="M50" s="2">
        <f>(Main_Data[[#This Row],[Total Units Sold]] *Main_Data[[#This Row],[Unit Selling Price]])-Main_Data[[#This Row],[Total Units Sold]]*Main_Data[[#This Row],[Unit Cost]]</f>
        <v>1534.3639000000001</v>
      </c>
      <c r="N50" s="4">
        <f>Main_Data[[#This Row],[Total Units Sold]] / IF(Main_Data[[#This Row],[Current Stock]]=0, 1,Main_Data[[#This Row],[Current Stock]])</f>
        <v>0.96666666666666667</v>
      </c>
      <c r="O50" s="2" t="str">
        <f>IF(Main_Data[[#This Row],[Unit Cost]] &gt; Main_Data[[#This Row],[Unit Selling Price]], "LOSS MAKER", "Profitable")</f>
        <v>Profitable</v>
      </c>
      <c r="P50" s="2" t="str">
        <f>IF(Main_Data[[#This Row],[Current Stock]] &lt;= Main_Data[[#This Row],[Reorder Quantity]], "Reorder", "No")</f>
        <v>No</v>
      </c>
    </row>
    <row r="51" spans="1:16" x14ac:dyDescent="0.3">
      <c r="A51" t="s">
        <v>72</v>
      </c>
      <c r="B51" t="s">
        <v>28</v>
      </c>
      <c r="C51">
        <v>97</v>
      </c>
      <c r="D51" t="s">
        <v>22</v>
      </c>
      <c r="E51">
        <v>9</v>
      </c>
      <c r="F51" s="1">
        <v>24</v>
      </c>
      <c r="G51" t="s">
        <v>20</v>
      </c>
      <c r="H51" s="2">
        <v>14.1478</v>
      </c>
      <c r="I51" s="2">
        <v>78.897900000000007</v>
      </c>
      <c r="J51">
        <v>99</v>
      </c>
      <c r="K51" s="2">
        <f>Main_Data[[#This Row],[Current Stock]]*Main_Data[[#This Row],[Unit Cost]]</f>
        <v>1372.3366000000001</v>
      </c>
      <c r="L51" s="3">
        <f>(Main_Data[[#This Row],[Unit Selling Price]] - Main_Data[[#This Row],[Unit Cost]]) /Main_Data[[#This Row],[Unit Selling Price]]</f>
        <v>0.82068217278279898</v>
      </c>
      <c r="M51" s="2">
        <f>(Main_Data[[#This Row],[Total Units Sold]] *Main_Data[[#This Row],[Unit Selling Price]])-Main_Data[[#This Row],[Total Units Sold]]*Main_Data[[#This Row],[Unit Cost]]</f>
        <v>6410.2599000000009</v>
      </c>
      <c r="N51" s="4">
        <f>Main_Data[[#This Row],[Total Units Sold]] / IF(Main_Data[[#This Row],[Current Stock]]=0, 1,Main_Data[[#This Row],[Current Stock]])</f>
        <v>1.0206185567010309</v>
      </c>
      <c r="O51" s="2" t="str">
        <f>IF(Main_Data[[#This Row],[Unit Cost]] &gt; Main_Data[[#This Row],[Unit Selling Price]], "LOSS MAKER", "Profitable")</f>
        <v>Profitable</v>
      </c>
      <c r="P51" s="2" t="str">
        <f>IF(Main_Data[[#This Row],[Current Stock]] &lt;= Main_Data[[#This Row],[Reorder Quantity]], "Reorder", "No")</f>
        <v>No</v>
      </c>
    </row>
    <row r="52" spans="1:16" x14ac:dyDescent="0.3">
      <c r="A52" t="s">
        <v>73</v>
      </c>
      <c r="B52" t="s">
        <v>28</v>
      </c>
      <c r="C52">
        <v>31</v>
      </c>
      <c r="D52" t="s">
        <v>22</v>
      </c>
      <c r="E52">
        <v>82</v>
      </c>
      <c r="F52" s="1">
        <v>23</v>
      </c>
      <c r="G52" t="s">
        <v>32</v>
      </c>
      <c r="H52" s="2">
        <v>45.178800000000003</v>
      </c>
      <c r="I52" s="2">
        <v>14.2035</v>
      </c>
      <c r="J52">
        <v>633</v>
      </c>
      <c r="K52" s="2">
        <f>Main_Data[[#This Row],[Current Stock]]*Main_Data[[#This Row],[Unit Cost]]</f>
        <v>1400.5428000000002</v>
      </c>
      <c r="L52" s="3">
        <f>(Main_Data[[#This Row],[Unit Selling Price]] - Main_Data[[#This Row],[Unit Cost]]) /Main_Data[[#This Row],[Unit Selling Price]]</f>
        <v>-2.1808216284718558</v>
      </c>
      <c r="M52" s="2">
        <f>(Main_Data[[#This Row],[Total Units Sold]] *Main_Data[[#This Row],[Unit Selling Price]])-Main_Data[[#This Row],[Total Units Sold]]*Main_Data[[#This Row],[Unit Cost]]</f>
        <v>-19607.3649</v>
      </c>
      <c r="N52" s="4">
        <f>Main_Data[[#This Row],[Total Units Sold]] / IF(Main_Data[[#This Row],[Current Stock]]=0, 1,Main_Data[[#This Row],[Current Stock]])</f>
        <v>20.419354838709676</v>
      </c>
      <c r="O52" s="2" t="str">
        <f>IF(Main_Data[[#This Row],[Unit Cost]] &gt; Main_Data[[#This Row],[Unit Selling Price]], "LOSS MAKER", "Profitable")</f>
        <v>LOSS MAKER</v>
      </c>
      <c r="P52" s="2" t="str">
        <f>IF(Main_Data[[#This Row],[Current Stock]] &lt;= Main_Data[[#This Row],[Reorder Quantity]], "Reorder", "No")</f>
        <v>Reorder</v>
      </c>
    </row>
    <row r="53" spans="1:16" x14ac:dyDescent="0.3">
      <c r="A53" t="s">
        <v>74</v>
      </c>
      <c r="B53" t="s">
        <v>11</v>
      </c>
      <c r="C53">
        <v>100</v>
      </c>
      <c r="D53" t="s">
        <v>24</v>
      </c>
      <c r="E53">
        <v>52</v>
      </c>
      <c r="F53" s="1">
        <v>4</v>
      </c>
      <c r="G53" t="s">
        <v>20</v>
      </c>
      <c r="H53" s="2">
        <v>14.190300000000001</v>
      </c>
      <c r="I53" s="2">
        <v>26.700800000000001</v>
      </c>
      <c r="J53">
        <v>154</v>
      </c>
      <c r="K53" s="2">
        <f>Main_Data[[#This Row],[Current Stock]]*Main_Data[[#This Row],[Unit Cost]]</f>
        <v>1419.03</v>
      </c>
      <c r="L53" s="3">
        <f>(Main_Data[[#This Row],[Unit Selling Price]] - Main_Data[[#This Row],[Unit Cost]]) /Main_Data[[#This Row],[Unit Selling Price]]</f>
        <v>0.46854401366251197</v>
      </c>
      <c r="M53" s="2">
        <f>(Main_Data[[#This Row],[Total Units Sold]] *Main_Data[[#This Row],[Unit Selling Price]])-Main_Data[[#This Row],[Total Units Sold]]*Main_Data[[#This Row],[Unit Cost]]</f>
        <v>1926.6170000000002</v>
      </c>
      <c r="N53" s="4">
        <f>Main_Data[[#This Row],[Total Units Sold]] / IF(Main_Data[[#This Row],[Current Stock]]=0, 1,Main_Data[[#This Row],[Current Stock]])</f>
        <v>1.54</v>
      </c>
      <c r="O53" s="2" t="str">
        <f>IF(Main_Data[[#This Row],[Unit Cost]] &gt; Main_Data[[#This Row],[Unit Selling Price]], "LOSS MAKER", "Profitable")</f>
        <v>Profitable</v>
      </c>
      <c r="P53" s="2" t="str">
        <f>IF(Main_Data[[#This Row],[Current Stock]] &lt;= Main_Data[[#This Row],[Reorder Quantity]], "Reorder", "No")</f>
        <v>No</v>
      </c>
    </row>
    <row r="54" spans="1:16" x14ac:dyDescent="0.3">
      <c r="A54" t="s">
        <v>75</v>
      </c>
      <c r="B54" t="s">
        <v>15</v>
      </c>
      <c r="C54">
        <v>64</v>
      </c>
      <c r="D54" t="s">
        <v>12</v>
      </c>
      <c r="E54">
        <v>11</v>
      </c>
      <c r="F54" s="1">
        <v>11</v>
      </c>
      <c r="G54" t="s">
        <v>17</v>
      </c>
      <c r="H54" s="2">
        <v>9.1668000000000003</v>
      </c>
      <c r="I54" s="2">
        <v>98.031800000000004</v>
      </c>
      <c r="J54">
        <v>820</v>
      </c>
      <c r="K54" s="2">
        <f>Main_Data[[#This Row],[Current Stock]]*Main_Data[[#This Row],[Unit Cost]]</f>
        <v>586.67520000000002</v>
      </c>
      <c r="L54" s="3">
        <f>(Main_Data[[#This Row],[Unit Selling Price]] - Main_Data[[#This Row],[Unit Cost]]) /Main_Data[[#This Row],[Unit Selling Price]]</f>
        <v>0.90649156702212963</v>
      </c>
      <c r="M54" s="2">
        <f>(Main_Data[[#This Row],[Total Units Sold]] *Main_Data[[#This Row],[Unit Selling Price]])-Main_Data[[#This Row],[Total Units Sold]]*Main_Data[[#This Row],[Unit Cost]]</f>
        <v>72869.3</v>
      </c>
      <c r="N54" s="4">
        <f>Main_Data[[#This Row],[Total Units Sold]] / IF(Main_Data[[#This Row],[Current Stock]]=0, 1,Main_Data[[#This Row],[Current Stock]])</f>
        <v>12.8125</v>
      </c>
      <c r="O54" s="2" t="str">
        <f>IF(Main_Data[[#This Row],[Unit Cost]] &gt; Main_Data[[#This Row],[Unit Selling Price]], "LOSS MAKER", "Profitable")</f>
        <v>Profitable</v>
      </c>
      <c r="P54" s="2" t="str">
        <f>IF(Main_Data[[#This Row],[Current Stock]] &lt;= Main_Data[[#This Row],[Reorder Quantity]], "Reorder", "No")</f>
        <v>No</v>
      </c>
    </row>
    <row r="55" spans="1:16" x14ac:dyDescent="0.3">
      <c r="A55" t="s">
        <v>76</v>
      </c>
      <c r="B55" t="s">
        <v>15</v>
      </c>
      <c r="C55">
        <v>96</v>
      </c>
      <c r="D55" t="s">
        <v>22</v>
      </c>
      <c r="E55">
        <v>54</v>
      </c>
      <c r="F55" s="1">
        <v>25</v>
      </c>
      <c r="G55" t="s">
        <v>17</v>
      </c>
      <c r="H55" s="2">
        <v>83.344099999999997</v>
      </c>
      <c r="I55" s="2">
        <v>30.3415</v>
      </c>
      <c r="J55">
        <v>242</v>
      </c>
      <c r="K55" s="2">
        <f>Main_Data[[#This Row],[Current Stock]]*Main_Data[[#This Row],[Unit Cost]]</f>
        <v>8001.0335999999998</v>
      </c>
      <c r="L55" s="3">
        <f>(Main_Data[[#This Row],[Unit Selling Price]] - Main_Data[[#This Row],[Unit Cost]]) /Main_Data[[#This Row],[Unit Selling Price]]</f>
        <v>-1.7468681508824548</v>
      </c>
      <c r="M55" s="2">
        <f>(Main_Data[[#This Row],[Total Units Sold]] *Main_Data[[#This Row],[Unit Selling Price]])-Main_Data[[#This Row],[Total Units Sold]]*Main_Data[[#This Row],[Unit Cost]]</f>
        <v>-12826.629199999999</v>
      </c>
      <c r="N55" s="4">
        <f>Main_Data[[#This Row],[Total Units Sold]] / IF(Main_Data[[#This Row],[Current Stock]]=0, 1,Main_Data[[#This Row],[Current Stock]])</f>
        <v>2.5208333333333335</v>
      </c>
      <c r="O55" s="2" t="str">
        <f>IF(Main_Data[[#This Row],[Unit Cost]] &gt; Main_Data[[#This Row],[Unit Selling Price]], "LOSS MAKER", "Profitable")</f>
        <v>LOSS MAKER</v>
      </c>
      <c r="P55" s="2" t="str">
        <f>IF(Main_Data[[#This Row],[Current Stock]] &lt;= Main_Data[[#This Row],[Reorder Quantity]], "Reorder", "No")</f>
        <v>No</v>
      </c>
    </row>
    <row r="56" spans="1:16" x14ac:dyDescent="0.3">
      <c r="A56" t="s">
        <v>77</v>
      </c>
      <c r="B56" t="s">
        <v>11</v>
      </c>
      <c r="C56">
        <v>33</v>
      </c>
      <c r="D56" t="s">
        <v>19</v>
      </c>
      <c r="E56">
        <v>61</v>
      </c>
      <c r="F56" s="1">
        <v>22</v>
      </c>
      <c r="G56" t="s">
        <v>17</v>
      </c>
      <c r="H56" s="2">
        <v>30.186</v>
      </c>
      <c r="I56" s="2">
        <v>31.1462</v>
      </c>
      <c r="J56">
        <v>622</v>
      </c>
      <c r="K56" s="2">
        <f>Main_Data[[#This Row],[Current Stock]]*Main_Data[[#This Row],[Unit Cost]]</f>
        <v>996.13800000000003</v>
      </c>
      <c r="L56" s="3">
        <f>(Main_Data[[#This Row],[Unit Selling Price]] - Main_Data[[#This Row],[Unit Cost]]) /Main_Data[[#This Row],[Unit Selling Price]]</f>
        <v>3.0828800945219653E-2</v>
      </c>
      <c r="M56" s="2">
        <f>(Main_Data[[#This Row],[Total Units Sold]] *Main_Data[[#This Row],[Unit Selling Price]])-Main_Data[[#This Row],[Total Units Sold]]*Main_Data[[#This Row],[Unit Cost]]</f>
        <v>597.24439999999959</v>
      </c>
      <c r="N56" s="4">
        <f>Main_Data[[#This Row],[Total Units Sold]] / IF(Main_Data[[#This Row],[Current Stock]]=0, 1,Main_Data[[#This Row],[Current Stock]])</f>
        <v>18.848484848484848</v>
      </c>
      <c r="O56" s="2" t="str">
        <f>IF(Main_Data[[#This Row],[Unit Cost]] &gt; Main_Data[[#This Row],[Unit Selling Price]], "LOSS MAKER", "Profitable")</f>
        <v>Profitable</v>
      </c>
      <c r="P56" s="2" t="str">
        <f>IF(Main_Data[[#This Row],[Current Stock]] &lt;= Main_Data[[#This Row],[Reorder Quantity]], "Reorder", "No")</f>
        <v>Reorder</v>
      </c>
    </row>
    <row r="57" spans="1:16" x14ac:dyDescent="0.3">
      <c r="A57" t="s">
        <v>78</v>
      </c>
      <c r="B57" t="s">
        <v>11</v>
      </c>
      <c r="C57">
        <v>97</v>
      </c>
      <c r="D57" t="s">
        <v>22</v>
      </c>
      <c r="E57">
        <v>11</v>
      </c>
      <c r="F57" s="1">
        <v>11</v>
      </c>
      <c r="G57" t="s">
        <v>32</v>
      </c>
      <c r="H57" s="2">
        <v>30.323499999999999</v>
      </c>
      <c r="I57" s="2">
        <v>79.855099999999993</v>
      </c>
      <c r="J57">
        <v>701</v>
      </c>
      <c r="K57" s="2">
        <f>Main_Data[[#This Row],[Current Stock]]*Main_Data[[#This Row],[Unit Cost]]</f>
        <v>2941.3795</v>
      </c>
      <c r="L57" s="3">
        <f>(Main_Data[[#This Row],[Unit Selling Price]] - Main_Data[[#This Row],[Unit Cost]]) /Main_Data[[#This Row],[Unit Selling Price]]</f>
        <v>0.62026846125043988</v>
      </c>
      <c r="M57" s="2">
        <f>(Main_Data[[#This Row],[Total Units Sold]] *Main_Data[[#This Row],[Unit Selling Price]])-Main_Data[[#This Row],[Total Units Sold]]*Main_Data[[#This Row],[Unit Cost]]</f>
        <v>34721.651599999997</v>
      </c>
      <c r="N57" s="4">
        <f>Main_Data[[#This Row],[Total Units Sold]] / IF(Main_Data[[#This Row],[Current Stock]]=0, 1,Main_Data[[#This Row],[Current Stock]])</f>
        <v>7.2268041237113403</v>
      </c>
      <c r="O57" s="2" t="str">
        <f>IF(Main_Data[[#This Row],[Unit Cost]] &gt; Main_Data[[#This Row],[Unit Selling Price]], "LOSS MAKER", "Profitable")</f>
        <v>Profitable</v>
      </c>
      <c r="P57" s="2" t="str">
        <f>IF(Main_Data[[#This Row],[Current Stock]] &lt;= Main_Data[[#This Row],[Reorder Quantity]], "Reorder", "No")</f>
        <v>No</v>
      </c>
    </row>
    <row r="58" spans="1:16" x14ac:dyDescent="0.3">
      <c r="A58" t="s">
        <v>79</v>
      </c>
      <c r="B58" t="s">
        <v>15</v>
      </c>
      <c r="C58">
        <v>25</v>
      </c>
      <c r="D58" t="s">
        <v>12</v>
      </c>
      <c r="E58">
        <v>83</v>
      </c>
      <c r="F58" s="1">
        <v>23</v>
      </c>
      <c r="G58" t="s">
        <v>17</v>
      </c>
      <c r="H58" s="2">
        <v>12.8363</v>
      </c>
      <c r="I58" s="2">
        <v>20.9864</v>
      </c>
      <c r="J58">
        <v>93</v>
      </c>
      <c r="K58" s="2">
        <f>Main_Data[[#This Row],[Current Stock]]*Main_Data[[#This Row],[Unit Cost]]</f>
        <v>320.90749999999997</v>
      </c>
      <c r="L58" s="3">
        <f>(Main_Data[[#This Row],[Unit Selling Price]] - Main_Data[[#This Row],[Unit Cost]]) /Main_Data[[#This Row],[Unit Selling Price]]</f>
        <v>0.38835150383105249</v>
      </c>
      <c r="M58" s="2">
        <f>(Main_Data[[#This Row],[Total Units Sold]] *Main_Data[[#This Row],[Unit Selling Price]])-Main_Data[[#This Row],[Total Units Sold]]*Main_Data[[#This Row],[Unit Cost]]</f>
        <v>757.95930000000021</v>
      </c>
      <c r="N58" s="4">
        <f>Main_Data[[#This Row],[Total Units Sold]] / IF(Main_Data[[#This Row],[Current Stock]]=0, 1,Main_Data[[#This Row],[Current Stock]])</f>
        <v>3.72</v>
      </c>
      <c r="O58" s="2" t="str">
        <f>IF(Main_Data[[#This Row],[Unit Cost]] &gt; Main_Data[[#This Row],[Unit Selling Price]], "LOSS MAKER", "Profitable")</f>
        <v>Profitable</v>
      </c>
      <c r="P58" s="2" t="str">
        <f>IF(Main_Data[[#This Row],[Current Stock]] &lt;= Main_Data[[#This Row],[Reorder Quantity]], "Reorder", "No")</f>
        <v>Reorder</v>
      </c>
    </row>
    <row r="59" spans="1:16" x14ac:dyDescent="0.3">
      <c r="A59" t="s">
        <v>80</v>
      </c>
      <c r="B59" t="s">
        <v>11</v>
      </c>
      <c r="C59">
        <v>5</v>
      </c>
      <c r="D59" t="s">
        <v>22</v>
      </c>
      <c r="E59">
        <v>51</v>
      </c>
      <c r="F59" s="1">
        <v>18</v>
      </c>
      <c r="G59" t="s">
        <v>32</v>
      </c>
      <c r="H59" s="2">
        <v>67.779600000000002</v>
      </c>
      <c r="I59" s="2">
        <v>49.263199999999998</v>
      </c>
      <c r="J59">
        <v>227</v>
      </c>
      <c r="K59" s="2">
        <f>Main_Data[[#This Row],[Current Stock]]*Main_Data[[#This Row],[Unit Cost]]</f>
        <v>338.89800000000002</v>
      </c>
      <c r="L59" s="3">
        <f>(Main_Data[[#This Row],[Unit Selling Price]] - Main_Data[[#This Row],[Unit Cost]]) /Main_Data[[#This Row],[Unit Selling Price]]</f>
        <v>-0.37586677276344221</v>
      </c>
      <c r="M59" s="2">
        <f>(Main_Data[[#This Row],[Total Units Sold]] *Main_Data[[#This Row],[Unit Selling Price]])-Main_Data[[#This Row],[Total Units Sold]]*Main_Data[[#This Row],[Unit Cost]]</f>
        <v>-4203.2228000000014</v>
      </c>
      <c r="N59" s="4">
        <f>Main_Data[[#This Row],[Total Units Sold]] / IF(Main_Data[[#This Row],[Current Stock]]=0, 1,Main_Data[[#This Row],[Current Stock]])</f>
        <v>45.4</v>
      </c>
      <c r="O59" s="2" t="str">
        <f>IF(Main_Data[[#This Row],[Unit Cost]] &gt; Main_Data[[#This Row],[Unit Selling Price]], "LOSS MAKER", "Profitable")</f>
        <v>LOSS MAKER</v>
      </c>
      <c r="P59" s="2" t="str">
        <f>IF(Main_Data[[#This Row],[Current Stock]] &lt;= Main_Data[[#This Row],[Reorder Quantity]], "Reorder", "No")</f>
        <v>Reorder</v>
      </c>
    </row>
    <row r="60" spans="1:16" x14ac:dyDescent="0.3">
      <c r="A60" t="s">
        <v>81</v>
      </c>
      <c r="B60" t="s">
        <v>15</v>
      </c>
      <c r="C60">
        <v>10</v>
      </c>
      <c r="D60" t="s">
        <v>22</v>
      </c>
      <c r="E60">
        <v>44</v>
      </c>
      <c r="F60" s="1">
        <v>5</v>
      </c>
      <c r="G60" t="s">
        <v>13</v>
      </c>
      <c r="H60" s="2">
        <v>65.047399999999996</v>
      </c>
      <c r="I60" s="2">
        <v>59.8416</v>
      </c>
      <c r="J60">
        <v>896</v>
      </c>
      <c r="K60" s="2">
        <f>Main_Data[[#This Row],[Current Stock]]*Main_Data[[#This Row],[Unit Cost]]</f>
        <v>650.47399999999993</v>
      </c>
      <c r="L60" s="3">
        <f>(Main_Data[[#This Row],[Unit Selling Price]] - Main_Data[[#This Row],[Unit Cost]]) /Main_Data[[#This Row],[Unit Selling Price]]</f>
        <v>-8.6992994839710111E-2</v>
      </c>
      <c r="M60" s="2">
        <f>(Main_Data[[#This Row],[Total Units Sold]] *Main_Data[[#This Row],[Unit Selling Price]])-Main_Data[[#This Row],[Total Units Sold]]*Main_Data[[#This Row],[Unit Cost]]</f>
        <v>-4664.396799999995</v>
      </c>
      <c r="N60" s="4">
        <f>Main_Data[[#This Row],[Total Units Sold]] / IF(Main_Data[[#This Row],[Current Stock]]=0, 1,Main_Data[[#This Row],[Current Stock]])</f>
        <v>89.6</v>
      </c>
      <c r="O60" s="2" t="str">
        <f>IF(Main_Data[[#This Row],[Unit Cost]] &gt; Main_Data[[#This Row],[Unit Selling Price]], "LOSS MAKER", "Profitable")</f>
        <v>LOSS MAKER</v>
      </c>
      <c r="P60" s="2" t="str">
        <f>IF(Main_Data[[#This Row],[Current Stock]] &lt;= Main_Data[[#This Row],[Reorder Quantity]], "Reorder", "No")</f>
        <v>Reorder</v>
      </c>
    </row>
    <row r="61" spans="1:16" x14ac:dyDescent="0.3">
      <c r="A61" t="s">
        <v>82</v>
      </c>
      <c r="B61" t="s">
        <v>28</v>
      </c>
      <c r="C61">
        <v>100</v>
      </c>
      <c r="D61" t="s">
        <v>19</v>
      </c>
      <c r="E61">
        <v>26</v>
      </c>
      <c r="F61" s="1">
        <v>16</v>
      </c>
      <c r="G61" t="s">
        <v>17</v>
      </c>
      <c r="H61" s="2">
        <v>1.9008</v>
      </c>
      <c r="I61" s="2">
        <v>63.828400000000002</v>
      </c>
      <c r="J61">
        <v>484</v>
      </c>
      <c r="K61" s="2">
        <f>Main_Data[[#This Row],[Current Stock]]*Main_Data[[#This Row],[Unit Cost]]</f>
        <v>190.08</v>
      </c>
      <c r="L61" s="3">
        <f>(Main_Data[[#This Row],[Unit Selling Price]] - Main_Data[[#This Row],[Unit Cost]]) /Main_Data[[#This Row],[Unit Selling Price]]</f>
        <v>0.9702201527846539</v>
      </c>
      <c r="M61" s="2">
        <f>(Main_Data[[#This Row],[Total Units Sold]] *Main_Data[[#This Row],[Unit Selling Price]])-Main_Data[[#This Row],[Total Units Sold]]*Main_Data[[#This Row],[Unit Cost]]</f>
        <v>29972.958400000003</v>
      </c>
      <c r="N61" s="4">
        <f>Main_Data[[#This Row],[Total Units Sold]] / IF(Main_Data[[#This Row],[Current Stock]]=0, 1,Main_Data[[#This Row],[Current Stock]])</f>
        <v>4.84</v>
      </c>
      <c r="O61" s="2" t="str">
        <f>IF(Main_Data[[#This Row],[Unit Cost]] &gt; Main_Data[[#This Row],[Unit Selling Price]], "LOSS MAKER", "Profitable")</f>
        <v>Profitable</v>
      </c>
      <c r="P61" s="2" t="str">
        <f>IF(Main_Data[[#This Row],[Current Stock]] &lt;= Main_Data[[#This Row],[Reorder Quantity]], "Reorder", "No")</f>
        <v>No</v>
      </c>
    </row>
    <row r="62" spans="1:16" x14ac:dyDescent="0.3">
      <c r="A62" t="s">
        <v>83</v>
      </c>
      <c r="B62" t="s">
        <v>15</v>
      </c>
      <c r="C62">
        <v>41</v>
      </c>
      <c r="D62" t="s">
        <v>12</v>
      </c>
      <c r="E62">
        <v>72</v>
      </c>
      <c r="F62" s="1">
        <v>27</v>
      </c>
      <c r="G62" t="s">
        <v>25</v>
      </c>
      <c r="H62" s="2">
        <v>87.213099999999997</v>
      </c>
      <c r="I62" s="2">
        <v>17.027999999999999</v>
      </c>
      <c r="J62">
        <v>380</v>
      </c>
      <c r="K62" s="2">
        <f>Main_Data[[#This Row],[Current Stock]]*Main_Data[[#This Row],[Unit Cost]]</f>
        <v>3575.7370999999998</v>
      </c>
      <c r="L62" s="3">
        <f>(Main_Data[[#This Row],[Unit Selling Price]] - Main_Data[[#This Row],[Unit Cost]]) /Main_Data[[#This Row],[Unit Selling Price]]</f>
        <v>-4.1217465351186284</v>
      </c>
      <c r="M62" s="2">
        <f>(Main_Data[[#This Row],[Total Units Sold]] *Main_Data[[#This Row],[Unit Selling Price]])-Main_Data[[#This Row],[Total Units Sold]]*Main_Data[[#This Row],[Unit Cost]]</f>
        <v>-26670.337999999996</v>
      </c>
      <c r="N62" s="4">
        <f>Main_Data[[#This Row],[Total Units Sold]] / IF(Main_Data[[#This Row],[Current Stock]]=0, 1,Main_Data[[#This Row],[Current Stock]])</f>
        <v>9.2682926829268286</v>
      </c>
      <c r="O62" s="2" t="str">
        <f>IF(Main_Data[[#This Row],[Unit Cost]] &gt; Main_Data[[#This Row],[Unit Selling Price]], "LOSS MAKER", "Profitable")</f>
        <v>LOSS MAKER</v>
      </c>
      <c r="P62" s="2" t="str">
        <f>IF(Main_Data[[#This Row],[Current Stock]] &lt;= Main_Data[[#This Row],[Reorder Quantity]], "Reorder", "No")</f>
        <v>Reorder</v>
      </c>
    </row>
    <row r="63" spans="1:16" x14ac:dyDescent="0.3">
      <c r="A63" t="s">
        <v>84</v>
      </c>
      <c r="B63" t="s">
        <v>11</v>
      </c>
      <c r="C63">
        <v>32</v>
      </c>
      <c r="D63" t="s">
        <v>19</v>
      </c>
      <c r="E63">
        <v>36</v>
      </c>
      <c r="F63" s="1">
        <v>23</v>
      </c>
      <c r="G63" t="s">
        <v>25</v>
      </c>
      <c r="H63" s="2">
        <v>78.702399999999997</v>
      </c>
      <c r="I63" s="2">
        <v>52.028700000000001</v>
      </c>
      <c r="J63">
        <v>117</v>
      </c>
      <c r="K63" s="2">
        <f>Main_Data[[#This Row],[Current Stock]]*Main_Data[[#This Row],[Unit Cost]]</f>
        <v>2518.4767999999999</v>
      </c>
      <c r="L63" s="3">
        <f>(Main_Data[[#This Row],[Unit Selling Price]] - Main_Data[[#This Row],[Unit Cost]]) /Main_Data[[#This Row],[Unit Selling Price]]</f>
        <v>-0.51267281327421199</v>
      </c>
      <c r="M63" s="2">
        <f>(Main_Data[[#This Row],[Total Units Sold]] *Main_Data[[#This Row],[Unit Selling Price]])-Main_Data[[#This Row],[Total Units Sold]]*Main_Data[[#This Row],[Unit Cost]]</f>
        <v>-3120.8229000000001</v>
      </c>
      <c r="N63" s="4">
        <f>Main_Data[[#This Row],[Total Units Sold]] / IF(Main_Data[[#This Row],[Current Stock]]=0, 1,Main_Data[[#This Row],[Current Stock]])</f>
        <v>3.65625</v>
      </c>
      <c r="O63" s="2" t="str">
        <f>IF(Main_Data[[#This Row],[Unit Cost]] &gt; Main_Data[[#This Row],[Unit Selling Price]], "LOSS MAKER", "Profitable")</f>
        <v>LOSS MAKER</v>
      </c>
      <c r="P63" s="2" t="str">
        <f>IF(Main_Data[[#This Row],[Current Stock]] &lt;= Main_Data[[#This Row],[Reorder Quantity]], "Reorder", "No")</f>
        <v>Reorder</v>
      </c>
    </row>
    <row r="64" spans="1:16" x14ac:dyDescent="0.3">
      <c r="A64" t="s">
        <v>85</v>
      </c>
      <c r="B64" t="s">
        <v>28</v>
      </c>
      <c r="C64">
        <v>86</v>
      </c>
      <c r="D64" t="s">
        <v>12</v>
      </c>
      <c r="E64">
        <v>40</v>
      </c>
      <c r="F64" s="1">
        <v>2</v>
      </c>
      <c r="G64" t="s">
        <v>32</v>
      </c>
      <c r="H64" s="2">
        <v>21.0486</v>
      </c>
      <c r="I64" s="2">
        <v>72.796400000000006</v>
      </c>
      <c r="J64">
        <v>270</v>
      </c>
      <c r="K64" s="2">
        <f>Main_Data[[#This Row],[Current Stock]]*Main_Data[[#This Row],[Unit Cost]]</f>
        <v>1810.1795999999999</v>
      </c>
      <c r="L64" s="3">
        <f>(Main_Data[[#This Row],[Unit Selling Price]] - Main_Data[[#This Row],[Unit Cost]]) /Main_Data[[#This Row],[Unit Selling Price]]</f>
        <v>0.71085658081993064</v>
      </c>
      <c r="M64" s="2">
        <f>(Main_Data[[#This Row],[Total Units Sold]] *Main_Data[[#This Row],[Unit Selling Price]])-Main_Data[[#This Row],[Total Units Sold]]*Main_Data[[#This Row],[Unit Cost]]</f>
        <v>13971.906000000003</v>
      </c>
      <c r="N64" s="4">
        <f>Main_Data[[#This Row],[Total Units Sold]] / IF(Main_Data[[#This Row],[Current Stock]]=0, 1,Main_Data[[#This Row],[Current Stock]])</f>
        <v>3.13953488372093</v>
      </c>
      <c r="O64" s="2" t="str">
        <f>IF(Main_Data[[#This Row],[Unit Cost]] &gt; Main_Data[[#This Row],[Unit Selling Price]], "LOSS MAKER", "Profitable")</f>
        <v>Profitable</v>
      </c>
      <c r="P64" s="2" t="str">
        <f>IF(Main_Data[[#This Row],[Current Stock]] &lt;= Main_Data[[#This Row],[Reorder Quantity]], "Reorder", "No")</f>
        <v>No</v>
      </c>
    </row>
    <row r="65" spans="1:16" x14ac:dyDescent="0.3">
      <c r="A65" t="s">
        <v>86</v>
      </c>
      <c r="B65" t="s">
        <v>15</v>
      </c>
      <c r="C65">
        <v>54</v>
      </c>
      <c r="D65" t="s">
        <v>24</v>
      </c>
      <c r="E65">
        <v>10</v>
      </c>
      <c r="F65" s="1">
        <v>19</v>
      </c>
      <c r="G65" t="s">
        <v>13</v>
      </c>
      <c r="H65" s="2">
        <v>20.074999999999999</v>
      </c>
      <c r="I65" s="2">
        <v>13.0174</v>
      </c>
      <c r="J65">
        <v>246</v>
      </c>
      <c r="K65" s="2">
        <f>Main_Data[[#This Row],[Current Stock]]*Main_Data[[#This Row],[Unit Cost]]</f>
        <v>1084.05</v>
      </c>
      <c r="L65" s="3">
        <f>(Main_Data[[#This Row],[Unit Selling Price]] - Main_Data[[#This Row],[Unit Cost]]) /Main_Data[[#This Row],[Unit Selling Price]]</f>
        <v>-0.54216663849923941</v>
      </c>
      <c r="M65" s="2">
        <f>(Main_Data[[#This Row],[Total Units Sold]] *Main_Data[[#This Row],[Unit Selling Price]])-Main_Data[[#This Row],[Total Units Sold]]*Main_Data[[#This Row],[Unit Cost]]</f>
        <v>-1736.1695999999997</v>
      </c>
      <c r="N65" s="4">
        <f>Main_Data[[#This Row],[Total Units Sold]] / IF(Main_Data[[#This Row],[Current Stock]]=0, 1,Main_Data[[#This Row],[Current Stock]])</f>
        <v>4.5555555555555554</v>
      </c>
      <c r="O65" s="2" t="str">
        <f>IF(Main_Data[[#This Row],[Unit Cost]] &gt; Main_Data[[#This Row],[Unit Selling Price]], "LOSS MAKER", "Profitable")</f>
        <v>LOSS MAKER</v>
      </c>
      <c r="P65" s="2" t="str">
        <f>IF(Main_Data[[#This Row],[Current Stock]] &lt;= Main_Data[[#This Row],[Reorder Quantity]], "Reorder", "No")</f>
        <v>No</v>
      </c>
    </row>
    <row r="66" spans="1:16" x14ac:dyDescent="0.3">
      <c r="A66" t="s">
        <v>87</v>
      </c>
      <c r="B66" t="s">
        <v>15</v>
      </c>
      <c r="C66">
        <v>73</v>
      </c>
      <c r="D66" t="s">
        <v>22</v>
      </c>
      <c r="E66">
        <v>75</v>
      </c>
      <c r="F66" s="1">
        <v>27</v>
      </c>
      <c r="G66" t="s">
        <v>17</v>
      </c>
      <c r="H66" s="2">
        <v>8.6929999999999996</v>
      </c>
      <c r="I66" s="2">
        <v>89.634100000000004</v>
      </c>
      <c r="J66">
        <v>134</v>
      </c>
      <c r="K66" s="2">
        <f>Main_Data[[#This Row],[Current Stock]]*Main_Data[[#This Row],[Unit Cost]]</f>
        <v>634.58899999999994</v>
      </c>
      <c r="L66" s="3">
        <f>(Main_Data[[#This Row],[Unit Selling Price]] - Main_Data[[#This Row],[Unit Cost]]) /Main_Data[[#This Row],[Unit Selling Price]]</f>
        <v>0.9030168206073359</v>
      </c>
      <c r="M66" s="2">
        <f>(Main_Data[[#This Row],[Total Units Sold]] *Main_Data[[#This Row],[Unit Selling Price]])-Main_Data[[#This Row],[Total Units Sold]]*Main_Data[[#This Row],[Unit Cost]]</f>
        <v>10846.107400000001</v>
      </c>
      <c r="N66" s="4">
        <f>Main_Data[[#This Row],[Total Units Sold]] / IF(Main_Data[[#This Row],[Current Stock]]=0, 1,Main_Data[[#This Row],[Current Stock]])</f>
        <v>1.8356164383561644</v>
      </c>
      <c r="O66" s="2" t="str">
        <f>IF(Main_Data[[#This Row],[Unit Cost]] &gt; Main_Data[[#This Row],[Unit Selling Price]], "LOSS MAKER", "Profitable")</f>
        <v>Profitable</v>
      </c>
      <c r="P66" s="2" t="str">
        <f>IF(Main_Data[[#This Row],[Current Stock]] &lt;= Main_Data[[#This Row],[Reorder Quantity]], "Reorder", "No")</f>
        <v>Reorder</v>
      </c>
    </row>
    <row r="67" spans="1:16" x14ac:dyDescent="0.3">
      <c r="A67" t="s">
        <v>88</v>
      </c>
      <c r="B67" t="s">
        <v>15</v>
      </c>
      <c r="C67">
        <v>57</v>
      </c>
      <c r="D67" t="s">
        <v>19</v>
      </c>
      <c r="E67">
        <v>54</v>
      </c>
      <c r="F67" s="1">
        <v>24</v>
      </c>
      <c r="G67" t="s">
        <v>20</v>
      </c>
      <c r="H67" s="2">
        <v>1.5972</v>
      </c>
      <c r="I67" s="2">
        <v>33.697699999999998</v>
      </c>
      <c r="J67">
        <v>457</v>
      </c>
      <c r="K67" s="2">
        <f>Main_Data[[#This Row],[Current Stock]]*Main_Data[[#This Row],[Unit Cost]]</f>
        <v>91.040399999999991</v>
      </c>
      <c r="L67" s="3">
        <f>(Main_Data[[#This Row],[Unit Selling Price]] - Main_Data[[#This Row],[Unit Cost]]) /Main_Data[[#This Row],[Unit Selling Price]]</f>
        <v>0.95260210637521248</v>
      </c>
      <c r="M67" s="2">
        <f>(Main_Data[[#This Row],[Total Units Sold]] *Main_Data[[#This Row],[Unit Selling Price]])-Main_Data[[#This Row],[Total Units Sold]]*Main_Data[[#This Row],[Unit Cost]]</f>
        <v>14669.928499999998</v>
      </c>
      <c r="N67" s="4">
        <f>Main_Data[[#This Row],[Total Units Sold]] / IF(Main_Data[[#This Row],[Current Stock]]=0, 1,Main_Data[[#This Row],[Current Stock]])</f>
        <v>8.0175438596491233</v>
      </c>
      <c r="O67" s="2" t="str">
        <f>IF(Main_Data[[#This Row],[Unit Cost]] &gt; Main_Data[[#This Row],[Unit Selling Price]], "LOSS MAKER", "Profitable")</f>
        <v>Profitable</v>
      </c>
      <c r="P67" s="2" t="str">
        <f>IF(Main_Data[[#This Row],[Current Stock]] &lt;= Main_Data[[#This Row],[Reorder Quantity]], "Reorder", "No")</f>
        <v>No</v>
      </c>
    </row>
    <row r="68" spans="1:16" x14ac:dyDescent="0.3">
      <c r="A68" t="s">
        <v>89</v>
      </c>
      <c r="B68" t="s">
        <v>15</v>
      </c>
      <c r="C68">
        <v>13</v>
      </c>
      <c r="D68" t="s">
        <v>19</v>
      </c>
      <c r="E68">
        <v>19</v>
      </c>
      <c r="F68" s="1">
        <v>17</v>
      </c>
      <c r="G68" t="s">
        <v>20</v>
      </c>
      <c r="H68" s="2">
        <v>42.084400000000002</v>
      </c>
      <c r="I68" s="2">
        <v>26.0349</v>
      </c>
      <c r="J68">
        <v>704</v>
      </c>
      <c r="K68" s="2">
        <f>Main_Data[[#This Row],[Current Stock]]*Main_Data[[#This Row],[Unit Cost]]</f>
        <v>547.09720000000004</v>
      </c>
      <c r="L68" s="3">
        <f>(Main_Data[[#This Row],[Unit Selling Price]] - Main_Data[[#This Row],[Unit Cost]]) /Main_Data[[#This Row],[Unit Selling Price]]</f>
        <v>-0.61646098122136062</v>
      </c>
      <c r="M68" s="2">
        <f>(Main_Data[[#This Row],[Total Units Sold]] *Main_Data[[#This Row],[Unit Selling Price]])-Main_Data[[#This Row],[Total Units Sold]]*Main_Data[[#This Row],[Unit Cost]]</f>
        <v>-11298.848000000002</v>
      </c>
      <c r="N68" s="4">
        <f>Main_Data[[#This Row],[Total Units Sold]] / IF(Main_Data[[#This Row],[Current Stock]]=0, 1,Main_Data[[#This Row],[Current Stock]])</f>
        <v>54.153846153846153</v>
      </c>
      <c r="O68" s="2" t="str">
        <f>IF(Main_Data[[#This Row],[Unit Cost]] &gt; Main_Data[[#This Row],[Unit Selling Price]], "LOSS MAKER", "Profitable")</f>
        <v>LOSS MAKER</v>
      </c>
      <c r="P68" s="2" t="str">
        <f>IF(Main_Data[[#This Row],[Current Stock]] &lt;= Main_Data[[#This Row],[Reorder Quantity]], "Reorder", "No")</f>
        <v>Reorder</v>
      </c>
    </row>
    <row r="69" spans="1:16" x14ac:dyDescent="0.3">
      <c r="A69" t="s">
        <v>90</v>
      </c>
      <c r="B69" t="s">
        <v>15</v>
      </c>
      <c r="C69">
        <v>12</v>
      </c>
      <c r="D69" t="s">
        <v>12</v>
      </c>
      <c r="E69">
        <v>71</v>
      </c>
      <c r="F69" s="1">
        <v>9</v>
      </c>
      <c r="G69" t="s">
        <v>17</v>
      </c>
      <c r="H69" s="2">
        <v>7.0579000000000001</v>
      </c>
      <c r="I69" s="2">
        <v>87.755399999999995</v>
      </c>
      <c r="J69">
        <v>513</v>
      </c>
      <c r="K69" s="2">
        <f>Main_Data[[#This Row],[Current Stock]]*Main_Data[[#This Row],[Unit Cost]]</f>
        <v>84.694800000000001</v>
      </c>
      <c r="L69" s="3">
        <f>(Main_Data[[#This Row],[Unit Selling Price]] - Main_Data[[#This Row],[Unit Cost]]) /Main_Data[[#This Row],[Unit Selling Price]]</f>
        <v>0.91957304051944377</v>
      </c>
      <c r="M69" s="2">
        <f>(Main_Data[[#This Row],[Total Units Sold]] *Main_Data[[#This Row],[Unit Selling Price]])-Main_Data[[#This Row],[Total Units Sold]]*Main_Data[[#This Row],[Unit Cost]]</f>
        <v>41397.817499999997</v>
      </c>
      <c r="N69" s="4">
        <f>Main_Data[[#This Row],[Total Units Sold]] / IF(Main_Data[[#This Row],[Current Stock]]=0, 1,Main_Data[[#This Row],[Current Stock]])</f>
        <v>42.75</v>
      </c>
      <c r="O69" s="2" t="str">
        <f>IF(Main_Data[[#This Row],[Unit Cost]] &gt; Main_Data[[#This Row],[Unit Selling Price]], "LOSS MAKER", "Profitable")</f>
        <v>Profitable</v>
      </c>
      <c r="P69" s="2" t="str">
        <f>IF(Main_Data[[#This Row],[Current Stock]] &lt;= Main_Data[[#This Row],[Reorder Quantity]], "Reorder", "No")</f>
        <v>Reorder</v>
      </c>
    </row>
    <row r="70" spans="1:16" x14ac:dyDescent="0.3">
      <c r="A70" t="s">
        <v>91</v>
      </c>
      <c r="B70" t="s">
        <v>11</v>
      </c>
      <c r="C70">
        <v>0</v>
      </c>
      <c r="D70" t="s">
        <v>24</v>
      </c>
      <c r="E70">
        <v>58</v>
      </c>
      <c r="F70" s="1">
        <v>8</v>
      </c>
      <c r="G70" t="s">
        <v>32</v>
      </c>
      <c r="H70" s="2">
        <v>97.113600000000005</v>
      </c>
      <c r="I70" s="2">
        <v>37.931800000000003</v>
      </c>
      <c r="J70">
        <v>163</v>
      </c>
      <c r="K70" s="2">
        <f>Main_Data[[#This Row],[Current Stock]]*Main_Data[[#This Row],[Unit Cost]]</f>
        <v>0</v>
      </c>
      <c r="L70" s="3">
        <f>(Main_Data[[#This Row],[Unit Selling Price]] - Main_Data[[#This Row],[Unit Cost]]) /Main_Data[[#This Row],[Unit Selling Price]]</f>
        <v>-1.5602159665504931</v>
      </c>
      <c r="M70" s="2">
        <f>(Main_Data[[#This Row],[Total Units Sold]] *Main_Data[[#This Row],[Unit Selling Price]])-Main_Data[[#This Row],[Total Units Sold]]*Main_Data[[#This Row],[Unit Cost]]</f>
        <v>-9646.6334000000006</v>
      </c>
      <c r="N70" s="4">
        <f>Main_Data[[#This Row],[Total Units Sold]] / IF(Main_Data[[#This Row],[Current Stock]]=0, 1,Main_Data[[#This Row],[Current Stock]])</f>
        <v>163</v>
      </c>
      <c r="O70" s="2" t="str">
        <f>IF(Main_Data[[#This Row],[Unit Cost]] &gt; Main_Data[[#This Row],[Unit Selling Price]], "LOSS MAKER", "Profitable")</f>
        <v>LOSS MAKER</v>
      </c>
      <c r="P70" s="2" t="str">
        <f>IF(Main_Data[[#This Row],[Current Stock]] &lt;= Main_Data[[#This Row],[Reorder Quantity]], "Reorder", "No")</f>
        <v>Reorder</v>
      </c>
    </row>
    <row r="71" spans="1:16" x14ac:dyDescent="0.3">
      <c r="A71" t="s">
        <v>92</v>
      </c>
      <c r="B71" t="s">
        <v>15</v>
      </c>
      <c r="C71">
        <v>95</v>
      </c>
      <c r="D71" t="s">
        <v>19</v>
      </c>
      <c r="E71">
        <v>27</v>
      </c>
      <c r="F71" s="1">
        <v>1</v>
      </c>
      <c r="G71" t="s">
        <v>25</v>
      </c>
      <c r="H71" s="2">
        <v>77.627799999999993</v>
      </c>
      <c r="I71" s="2">
        <v>54.865499999999997</v>
      </c>
      <c r="J71">
        <v>511</v>
      </c>
      <c r="K71" s="2">
        <f>Main_Data[[#This Row],[Current Stock]]*Main_Data[[#This Row],[Unit Cost]]</f>
        <v>7374.6409999999996</v>
      </c>
      <c r="L71" s="3">
        <f>(Main_Data[[#This Row],[Unit Selling Price]] - Main_Data[[#This Row],[Unit Cost]]) /Main_Data[[#This Row],[Unit Selling Price]]</f>
        <v>-0.41487455687089331</v>
      </c>
      <c r="M71" s="2">
        <f>(Main_Data[[#This Row],[Total Units Sold]] *Main_Data[[#This Row],[Unit Selling Price]])-Main_Data[[#This Row],[Total Units Sold]]*Main_Data[[#This Row],[Unit Cost]]</f>
        <v>-11631.535299999996</v>
      </c>
      <c r="N71" s="4">
        <f>Main_Data[[#This Row],[Total Units Sold]] / IF(Main_Data[[#This Row],[Current Stock]]=0, 1,Main_Data[[#This Row],[Current Stock]])</f>
        <v>5.3789473684210529</v>
      </c>
      <c r="O71" s="2" t="str">
        <f>IF(Main_Data[[#This Row],[Unit Cost]] &gt; Main_Data[[#This Row],[Unit Selling Price]], "LOSS MAKER", "Profitable")</f>
        <v>LOSS MAKER</v>
      </c>
      <c r="P71" s="2" t="str">
        <f>IF(Main_Data[[#This Row],[Current Stock]] &lt;= Main_Data[[#This Row],[Reorder Quantity]], "Reorder", "No")</f>
        <v>No</v>
      </c>
    </row>
    <row r="72" spans="1:16" x14ac:dyDescent="0.3">
      <c r="A72" t="s">
        <v>93</v>
      </c>
      <c r="B72" t="s">
        <v>11</v>
      </c>
      <c r="C72">
        <v>10</v>
      </c>
      <c r="D72" t="s">
        <v>24</v>
      </c>
      <c r="E72">
        <v>22</v>
      </c>
      <c r="F72" s="1">
        <v>12</v>
      </c>
      <c r="G72" t="s">
        <v>17</v>
      </c>
      <c r="H72" s="2">
        <v>11.440799999999999</v>
      </c>
      <c r="I72" s="2">
        <v>47.914499999999997</v>
      </c>
      <c r="J72">
        <v>32</v>
      </c>
      <c r="K72" s="2">
        <f>Main_Data[[#This Row],[Current Stock]]*Main_Data[[#This Row],[Unit Cost]]</f>
        <v>114.40799999999999</v>
      </c>
      <c r="L72" s="3">
        <f>(Main_Data[[#This Row],[Unit Selling Price]] - Main_Data[[#This Row],[Unit Cost]]) /Main_Data[[#This Row],[Unit Selling Price]]</f>
        <v>0.76122468146385747</v>
      </c>
      <c r="M72" s="2">
        <f>(Main_Data[[#This Row],[Total Units Sold]] *Main_Data[[#This Row],[Unit Selling Price]])-Main_Data[[#This Row],[Total Units Sold]]*Main_Data[[#This Row],[Unit Cost]]</f>
        <v>1167.1583999999998</v>
      </c>
      <c r="N72" s="4">
        <f>Main_Data[[#This Row],[Total Units Sold]] / IF(Main_Data[[#This Row],[Current Stock]]=0, 1,Main_Data[[#This Row],[Current Stock]])</f>
        <v>3.2</v>
      </c>
      <c r="O72" s="2" t="str">
        <f>IF(Main_Data[[#This Row],[Unit Cost]] &gt; Main_Data[[#This Row],[Unit Selling Price]], "LOSS MAKER", "Profitable")</f>
        <v>Profitable</v>
      </c>
      <c r="P72" s="2" t="str">
        <f>IF(Main_Data[[#This Row],[Current Stock]] &lt;= Main_Data[[#This Row],[Reorder Quantity]], "Reorder", "No")</f>
        <v>Reorder</v>
      </c>
    </row>
    <row r="73" spans="1:16" x14ac:dyDescent="0.3">
      <c r="A73" t="s">
        <v>94</v>
      </c>
      <c r="B73" t="s">
        <v>28</v>
      </c>
      <c r="C73">
        <v>76</v>
      </c>
      <c r="D73" t="s">
        <v>24</v>
      </c>
      <c r="E73">
        <v>26</v>
      </c>
      <c r="F73" s="1">
        <v>2</v>
      </c>
      <c r="G73" t="s">
        <v>32</v>
      </c>
      <c r="H73" s="2">
        <v>30.6617</v>
      </c>
      <c r="I73" s="2">
        <v>6.3815</v>
      </c>
      <c r="J73">
        <v>637</v>
      </c>
      <c r="K73" s="2">
        <f>Main_Data[[#This Row],[Current Stock]]*Main_Data[[#This Row],[Unit Cost]]</f>
        <v>2330.2892000000002</v>
      </c>
      <c r="L73" s="3">
        <f>(Main_Data[[#This Row],[Unit Selling Price]] - Main_Data[[#This Row],[Unit Cost]]) /Main_Data[[#This Row],[Unit Selling Price]]</f>
        <v>-3.8047794405703987</v>
      </c>
      <c r="M73" s="2">
        <f>(Main_Data[[#This Row],[Total Units Sold]] *Main_Data[[#This Row],[Unit Selling Price]])-Main_Data[[#This Row],[Total Units Sold]]*Main_Data[[#This Row],[Unit Cost]]</f>
        <v>-15466.4874</v>
      </c>
      <c r="N73" s="4">
        <f>Main_Data[[#This Row],[Total Units Sold]] / IF(Main_Data[[#This Row],[Current Stock]]=0, 1,Main_Data[[#This Row],[Current Stock]])</f>
        <v>8.3815789473684212</v>
      </c>
      <c r="O73" s="2" t="str">
        <f>IF(Main_Data[[#This Row],[Unit Cost]] &gt; Main_Data[[#This Row],[Unit Selling Price]], "LOSS MAKER", "Profitable")</f>
        <v>LOSS MAKER</v>
      </c>
      <c r="P73" s="2" t="str">
        <f>IF(Main_Data[[#This Row],[Current Stock]] &lt;= Main_Data[[#This Row],[Reorder Quantity]], "Reorder", "No")</f>
        <v>No</v>
      </c>
    </row>
    <row r="74" spans="1:16" x14ac:dyDescent="0.3">
      <c r="A74" t="s">
        <v>95</v>
      </c>
      <c r="B74" t="s">
        <v>28</v>
      </c>
      <c r="C74">
        <v>57</v>
      </c>
      <c r="D74" t="s">
        <v>24</v>
      </c>
      <c r="E74">
        <v>77</v>
      </c>
      <c r="F74" s="1">
        <v>29</v>
      </c>
      <c r="G74" t="s">
        <v>17</v>
      </c>
      <c r="H74" s="2">
        <v>55.7605</v>
      </c>
      <c r="I74" s="2">
        <v>90.204400000000007</v>
      </c>
      <c r="J74">
        <v>478</v>
      </c>
      <c r="K74" s="2">
        <f>Main_Data[[#This Row],[Current Stock]]*Main_Data[[#This Row],[Unit Cost]]</f>
        <v>3178.3485000000001</v>
      </c>
      <c r="L74" s="3">
        <f>(Main_Data[[#This Row],[Unit Selling Price]] - Main_Data[[#This Row],[Unit Cost]]) /Main_Data[[#This Row],[Unit Selling Price]]</f>
        <v>0.38184279259104881</v>
      </c>
      <c r="M74" s="2">
        <f>(Main_Data[[#This Row],[Total Units Sold]] *Main_Data[[#This Row],[Unit Selling Price]])-Main_Data[[#This Row],[Total Units Sold]]*Main_Data[[#This Row],[Unit Cost]]</f>
        <v>16464.184200000003</v>
      </c>
      <c r="N74" s="4">
        <f>Main_Data[[#This Row],[Total Units Sold]] / IF(Main_Data[[#This Row],[Current Stock]]=0, 1,Main_Data[[#This Row],[Current Stock]])</f>
        <v>8.3859649122807021</v>
      </c>
      <c r="O74" s="2" t="str">
        <f>IF(Main_Data[[#This Row],[Unit Cost]] &gt; Main_Data[[#This Row],[Unit Selling Price]], "LOSS MAKER", "Profitable")</f>
        <v>Profitable</v>
      </c>
      <c r="P74" s="2" t="str">
        <f>IF(Main_Data[[#This Row],[Current Stock]] &lt;= Main_Data[[#This Row],[Reorder Quantity]], "Reorder", "No")</f>
        <v>Reorder</v>
      </c>
    </row>
    <row r="75" spans="1:16" x14ac:dyDescent="0.3">
      <c r="A75" t="s">
        <v>96</v>
      </c>
      <c r="B75" t="s">
        <v>28</v>
      </c>
      <c r="C75">
        <v>17</v>
      </c>
      <c r="D75" t="s">
        <v>31</v>
      </c>
      <c r="E75">
        <v>66</v>
      </c>
      <c r="F75" s="1">
        <v>25</v>
      </c>
      <c r="G75" t="s">
        <v>25</v>
      </c>
      <c r="H75" s="2">
        <v>46.870199999999997</v>
      </c>
      <c r="I75" s="2">
        <v>83.850999999999999</v>
      </c>
      <c r="J75">
        <v>375</v>
      </c>
      <c r="K75" s="2">
        <f>Main_Data[[#This Row],[Current Stock]]*Main_Data[[#This Row],[Unit Cost]]</f>
        <v>796.79339999999991</v>
      </c>
      <c r="L75" s="3">
        <f>(Main_Data[[#This Row],[Unit Selling Price]] - Main_Data[[#This Row],[Unit Cost]]) /Main_Data[[#This Row],[Unit Selling Price]]</f>
        <v>0.44102992212376718</v>
      </c>
      <c r="M75" s="2">
        <f>(Main_Data[[#This Row],[Total Units Sold]] *Main_Data[[#This Row],[Unit Selling Price]])-Main_Data[[#This Row],[Total Units Sold]]*Main_Data[[#This Row],[Unit Cost]]</f>
        <v>13867.800000000003</v>
      </c>
      <c r="N75" s="4">
        <f>Main_Data[[#This Row],[Total Units Sold]] / IF(Main_Data[[#This Row],[Current Stock]]=0, 1,Main_Data[[#This Row],[Current Stock]])</f>
        <v>22.058823529411764</v>
      </c>
      <c r="O75" s="2" t="str">
        <f>IF(Main_Data[[#This Row],[Unit Cost]] &gt; Main_Data[[#This Row],[Unit Selling Price]], "LOSS MAKER", "Profitable")</f>
        <v>Profitable</v>
      </c>
      <c r="P75" s="2" t="str">
        <f>IF(Main_Data[[#This Row],[Current Stock]] &lt;= Main_Data[[#This Row],[Reorder Quantity]], "Reorder", "No")</f>
        <v>Reorder</v>
      </c>
    </row>
    <row r="76" spans="1:16" x14ac:dyDescent="0.3">
      <c r="A76" t="s">
        <v>97</v>
      </c>
      <c r="B76" t="s">
        <v>11</v>
      </c>
      <c r="C76">
        <v>41</v>
      </c>
      <c r="D76" t="s">
        <v>22</v>
      </c>
      <c r="E76">
        <v>1</v>
      </c>
      <c r="F76" s="1">
        <v>6</v>
      </c>
      <c r="G76" t="s">
        <v>25</v>
      </c>
      <c r="H76" s="2">
        <v>80.5809</v>
      </c>
      <c r="I76" s="2">
        <v>3.17</v>
      </c>
      <c r="J76">
        <v>904</v>
      </c>
      <c r="K76" s="2">
        <f>Main_Data[[#This Row],[Current Stock]]*Main_Data[[#This Row],[Unit Cost]]</f>
        <v>3303.8168999999998</v>
      </c>
      <c r="L76" s="3">
        <f>(Main_Data[[#This Row],[Unit Selling Price]] - Main_Data[[#This Row],[Unit Cost]]) /Main_Data[[#This Row],[Unit Selling Price]]</f>
        <v>-24.419842271293376</v>
      </c>
      <c r="M76" s="2">
        <f>(Main_Data[[#This Row],[Total Units Sold]] *Main_Data[[#This Row],[Unit Selling Price]])-Main_Data[[#This Row],[Total Units Sold]]*Main_Data[[#This Row],[Unit Cost]]</f>
        <v>-69979.453600000008</v>
      </c>
      <c r="N76" s="4">
        <f>Main_Data[[#This Row],[Total Units Sold]] / IF(Main_Data[[#This Row],[Current Stock]]=0, 1,Main_Data[[#This Row],[Current Stock]])</f>
        <v>22.048780487804876</v>
      </c>
      <c r="O76" s="2" t="str">
        <f>IF(Main_Data[[#This Row],[Unit Cost]] &gt; Main_Data[[#This Row],[Unit Selling Price]], "LOSS MAKER", "Profitable")</f>
        <v>LOSS MAKER</v>
      </c>
      <c r="P76" s="2" t="str">
        <f>IF(Main_Data[[#This Row],[Current Stock]] &lt;= Main_Data[[#This Row],[Reorder Quantity]], "Reorder", "No")</f>
        <v>No</v>
      </c>
    </row>
    <row r="77" spans="1:16" x14ac:dyDescent="0.3">
      <c r="A77" t="s">
        <v>98</v>
      </c>
      <c r="B77" t="s">
        <v>15</v>
      </c>
      <c r="C77">
        <v>16</v>
      </c>
      <c r="D77" t="s">
        <v>31</v>
      </c>
      <c r="E77">
        <v>56</v>
      </c>
      <c r="F77" s="1">
        <v>20</v>
      </c>
      <c r="G77" t="s">
        <v>17</v>
      </c>
      <c r="H77" s="2">
        <v>48.064799999999998</v>
      </c>
      <c r="I77" s="2">
        <v>92.996899999999997</v>
      </c>
      <c r="J77">
        <v>106</v>
      </c>
      <c r="K77" s="2">
        <f>Main_Data[[#This Row],[Current Stock]]*Main_Data[[#This Row],[Unit Cost]]</f>
        <v>769.03679999999997</v>
      </c>
      <c r="L77" s="3">
        <f>(Main_Data[[#This Row],[Unit Selling Price]] - Main_Data[[#This Row],[Unit Cost]]) /Main_Data[[#This Row],[Unit Selling Price]]</f>
        <v>0.48315696544723535</v>
      </c>
      <c r="M77" s="2">
        <f>(Main_Data[[#This Row],[Total Units Sold]] *Main_Data[[#This Row],[Unit Selling Price]])-Main_Data[[#This Row],[Total Units Sold]]*Main_Data[[#This Row],[Unit Cost]]</f>
        <v>4762.8025999999991</v>
      </c>
      <c r="N77" s="4">
        <f>Main_Data[[#This Row],[Total Units Sold]] / IF(Main_Data[[#This Row],[Current Stock]]=0, 1,Main_Data[[#This Row],[Current Stock]])</f>
        <v>6.625</v>
      </c>
      <c r="O77" s="2" t="str">
        <f>IF(Main_Data[[#This Row],[Unit Cost]] &gt; Main_Data[[#This Row],[Unit Selling Price]], "LOSS MAKER", "Profitable")</f>
        <v>Profitable</v>
      </c>
      <c r="P77" s="2" t="str">
        <f>IF(Main_Data[[#This Row],[Current Stock]] &lt;= Main_Data[[#This Row],[Reorder Quantity]], "Reorder", "No")</f>
        <v>Reorder</v>
      </c>
    </row>
    <row r="78" spans="1:16" x14ac:dyDescent="0.3">
      <c r="A78" t="s">
        <v>99</v>
      </c>
      <c r="B78" t="s">
        <v>11</v>
      </c>
      <c r="C78">
        <v>38</v>
      </c>
      <c r="D78" t="s">
        <v>24</v>
      </c>
      <c r="E78">
        <v>22</v>
      </c>
      <c r="F78" s="1">
        <v>1</v>
      </c>
      <c r="G78" t="s">
        <v>32</v>
      </c>
      <c r="H78" s="2">
        <v>64.323599999999999</v>
      </c>
      <c r="I78" s="2">
        <v>69.108800000000002</v>
      </c>
      <c r="J78">
        <v>241</v>
      </c>
      <c r="K78" s="2">
        <f>Main_Data[[#This Row],[Current Stock]]*Main_Data[[#This Row],[Unit Cost]]</f>
        <v>2444.2968000000001</v>
      </c>
      <c r="L78" s="3">
        <f>(Main_Data[[#This Row],[Unit Selling Price]] - Main_Data[[#This Row],[Unit Cost]]) /Main_Data[[#This Row],[Unit Selling Price]]</f>
        <v>6.9241543768666258E-2</v>
      </c>
      <c r="M78" s="2">
        <f>(Main_Data[[#This Row],[Total Units Sold]] *Main_Data[[#This Row],[Unit Selling Price]])-Main_Data[[#This Row],[Total Units Sold]]*Main_Data[[#This Row],[Unit Cost]]</f>
        <v>1153.2331999999988</v>
      </c>
      <c r="N78" s="4">
        <f>Main_Data[[#This Row],[Total Units Sold]] / IF(Main_Data[[#This Row],[Current Stock]]=0, 1,Main_Data[[#This Row],[Current Stock]])</f>
        <v>6.3421052631578947</v>
      </c>
      <c r="O78" s="2" t="str">
        <f>IF(Main_Data[[#This Row],[Unit Cost]] &gt; Main_Data[[#This Row],[Unit Selling Price]], "LOSS MAKER", "Profitable")</f>
        <v>Profitable</v>
      </c>
      <c r="P78" s="2" t="str">
        <f>IF(Main_Data[[#This Row],[Current Stock]] &lt;= Main_Data[[#This Row],[Reorder Quantity]], "Reorder", "No")</f>
        <v>No</v>
      </c>
    </row>
    <row r="79" spans="1:16" x14ac:dyDescent="0.3">
      <c r="A79" t="s">
        <v>100</v>
      </c>
      <c r="B79" t="s">
        <v>11</v>
      </c>
      <c r="C79">
        <v>96</v>
      </c>
      <c r="D79" t="s">
        <v>19</v>
      </c>
      <c r="E79">
        <v>57</v>
      </c>
      <c r="F79" s="1">
        <v>28</v>
      </c>
      <c r="G79" t="s">
        <v>17</v>
      </c>
      <c r="H79" s="2">
        <v>42.952399999999997</v>
      </c>
      <c r="I79" s="2">
        <v>57.4497</v>
      </c>
      <c r="J79">
        <v>359</v>
      </c>
      <c r="K79" s="2">
        <f>Main_Data[[#This Row],[Current Stock]]*Main_Data[[#This Row],[Unit Cost]]</f>
        <v>4123.4303999999993</v>
      </c>
      <c r="L79" s="3">
        <f>(Main_Data[[#This Row],[Unit Selling Price]] - Main_Data[[#This Row],[Unit Cost]]) /Main_Data[[#This Row],[Unit Selling Price]]</f>
        <v>0.2523477059062102</v>
      </c>
      <c r="M79" s="2">
        <f>(Main_Data[[#This Row],[Total Units Sold]] *Main_Data[[#This Row],[Unit Selling Price]])-Main_Data[[#This Row],[Total Units Sold]]*Main_Data[[#This Row],[Unit Cost]]</f>
        <v>5204.5306999999993</v>
      </c>
      <c r="N79" s="4">
        <f>Main_Data[[#This Row],[Total Units Sold]] / IF(Main_Data[[#This Row],[Current Stock]]=0, 1,Main_Data[[#This Row],[Current Stock]])</f>
        <v>3.7395833333333335</v>
      </c>
      <c r="O79" s="2" t="str">
        <f>IF(Main_Data[[#This Row],[Unit Cost]] &gt; Main_Data[[#This Row],[Unit Selling Price]], "LOSS MAKER", "Profitable")</f>
        <v>Profitable</v>
      </c>
      <c r="P79" s="2" t="str">
        <f>IF(Main_Data[[#This Row],[Current Stock]] &lt;= Main_Data[[#This Row],[Reorder Quantity]], "Reorder", "No")</f>
        <v>No</v>
      </c>
    </row>
    <row r="80" spans="1:16" x14ac:dyDescent="0.3">
      <c r="A80" t="s">
        <v>101</v>
      </c>
      <c r="B80" t="s">
        <v>11</v>
      </c>
      <c r="C80">
        <v>5</v>
      </c>
      <c r="D80" t="s">
        <v>12</v>
      </c>
      <c r="E80">
        <v>51</v>
      </c>
      <c r="F80" s="1">
        <v>4</v>
      </c>
      <c r="G80" t="s">
        <v>20</v>
      </c>
      <c r="H80" s="2">
        <v>71.126499999999993</v>
      </c>
      <c r="I80" s="2">
        <v>6.3068999999999997</v>
      </c>
      <c r="J80">
        <v>946</v>
      </c>
      <c r="K80" s="2">
        <f>Main_Data[[#This Row],[Current Stock]]*Main_Data[[#This Row],[Unit Cost]]</f>
        <v>355.63249999999994</v>
      </c>
      <c r="L80" s="3">
        <f>(Main_Data[[#This Row],[Unit Selling Price]] - Main_Data[[#This Row],[Unit Cost]]) /Main_Data[[#This Row],[Unit Selling Price]]</f>
        <v>-10.277569011717326</v>
      </c>
      <c r="M80" s="2">
        <f>(Main_Data[[#This Row],[Total Units Sold]] *Main_Data[[#This Row],[Unit Selling Price]])-Main_Data[[#This Row],[Total Units Sold]]*Main_Data[[#This Row],[Unit Cost]]</f>
        <v>-61319.341599999992</v>
      </c>
      <c r="N80" s="4">
        <f>Main_Data[[#This Row],[Total Units Sold]] / IF(Main_Data[[#This Row],[Current Stock]]=0, 1,Main_Data[[#This Row],[Current Stock]])</f>
        <v>189.2</v>
      </c>
      <c r="O80" s="2" t="str">
        <f>IF(Main_Data[[#This Row],[Unit Cost]] &gt; Main_Data[[#This Row],[Unit Selling Price]], "LOSS MAKER", "Profitable")</f>
        <v>LOSS MAKER</v>
      </c>
      <c r="P80" s="2" t="str">
        <f>IF(Main_Data[[#This Row],[Current Stock]] &lt;= Main_Data[[#This Row],[Reorder Quantity]], "Reorder", "No")</f>
        <v>Reorder</v>
      </c>
    </row>
    <row r="81" spans="1:16" x14ac:dyDescent="0.3">
      <c r="A81" t="s">
        <v>102</v>
      </c>
      <c r="B81" t="s">
        <v>11</v>
      </c>
      <c r="C81">
        <v>31</v>
      </c>
      <c r="D81" t="s">
        <v>24</v>
      </c>
      <c r="E81">
        <v>20</v>
      </c>
      <c r="F81" s="1">
        <v>25</v>
      </c>
      <c r="G81" t="s">
        <v>13</v>
      </c>
      <c r="H81" s="2">
        <v>57.870899999999999</v>
      </c>
      <c r="I81" s="2">
        <v>57.057000000000002</v>
      </c>
      <c r="J81">
        <v>198</v>
      </c>
      <c r="K81" s="2">
        <f>Main_Data[[#This Row],[Current Stock]]*Main_Data[[#This Row],[Unit Cost]]</f>
        <v>1793.9979000000001</v>
      </c>
      <c r="L81" s="3">
        <f>(Main_Data[[#This Row],[Unit Selling Price]] - Main_Data[[#This Row],[Unit Cost]]) /Main_Data[[#This Row],[Unit Selling Price]]</f>
        <v>-1.4264682685735259E-2</v>
      </c>
      <c r="M81" s="2">
        <f>(Main_Data[[#This Row],[Total Units Sold]] *Main_Data[[#This Row],[Unit Selling Price]])-Main_Data[[#This Row],[Total Units Sold]]*Main_Data[[#This Row],[Unit Cost]]</f>
        <v>-161.15220000000045</v>
      </c>
      <c r="N81" s="4">
        <f>Main_Data[[#This Row],[Total Units Sold]] / IF(Main_Data[[#This Row],[Current Stock]]=0, 1,Main_Data[[#This Row],[Current Stock]])</f>
        <v>6.387096774193548</v>
      </c>
      <c r="O81" s="2" t="str">
        <f>IF(Main_Data[[#This Row],[Unit Cost]] &gt; Main_Data[[#This Row],[Unit Selling Price]], "LOSS MAKER", "Profitable")</f>
        <v>LOSS MAKER</v>
      </c>
      <c r="P81" s="2" t="str">
        <f>IF(Main_Data[[#This Row],[Current Stock]] &lt;= Main_Data[[#This Row],[Reorder Quantity]], "Reorder", "No")</f>
        <v>No</v>
      </c>
    </row>
    <row r="82" spans="1:16" x14ac:dyDescent="0.3">
      <c r="A82" t="s">
        <v>103</v>
      </c>
      <c r="B82" t="s">
        <v>15</v>
      </c>
      <c r="C82">
        <v>39</v>
      </c>
      <c r="D82" t="s">
        <v>31</v>
      </c>
      <c r="E82">
        <v>41</v>
      </c>
      <c r="F82" s="1">
        <v>14</v>
      </c>
      <c r="G82" t="s">
        <v>13</v>
      </c>
      <c r="H82" s="2">
        <v>76.961200000000005</v>
      </c>
      <c r="I82" s="2">
        <v>91.128299999999996</v>
      </c>
      <c r="J82">
        <v>872</v>
      </c>
      <c r="K82" s="2">
        <f>Main_Data[[#This Row],[Current Stock]]*Main_Data[[#This Row],[Unit Cost]]</f>
        <v>3001.4868000000001</v>
      </c>
      <c r="L82" s="3">
        <f>(Main_Data[[#This Row],[Unit Selling Price]] - Main_Data[[#This Row],[Unit Cost]]) /Main_Data[[#This Row],[Unit Selling Price]]</f>
        <v>0.15546323150986019</v>
      </c>
      <c r="M82" s="2">
        <f>(Main_Data[[#This Row],[Total Units Sold]] *Main_Data[[#This Row],[Unit Selling Price]])-Main_Data[[#This Row],[Total Units Sold]]*Main_Data[[#This Row],[Unit Cost]]</f>
        <v>12353.711199999991</v>
      </c>
      <c r="N82" s="4">
        <f>Main_Data[[#This Row],[Total Units Sold]] / IF(Main_Data[[#This Row],[Current Stock]]=0, 1,Main_Data[[#This Row],[Current Stock]])</f>
        <v>22.358974358974358</v>
      </c>
      <c r="O82" s="2" t="str">
        <f>IF(Main_Data[[#This Row],[Unit Cost]] &gt; Main_Data[[#This Row],[Unit Selling Price]], "LOSS MAKER", "Profitable")</f>
        <v>Profitable</v>
      </c>
      <c r="P82" s="2" t="str">
        <f>IF(Main_Data[[#This Row],[Current Stock]] &lt;= Main_Data[[#This Row],[Reorder Quantity]], "Reorder", "No")</f>
        <v>Reorder</v>
      </c>
    </row>
    <row r="83" spans="1:16" x14ac:dyDescent="0.3">
      <c r="A83" t="s">
        <v>104</v>
      </c>
      <c r="B83" t="s">
        <v>11</v>
      </c>
      <c r="C83">
        <v>48</v>
      </c>
      <c r="D83" t="s">
        <v>22</v>
      </c>
      <c r="E83">
        <v>8</v>
      </c>
      <c r="F83" s="1">
        <v>6</v>
      </c>
      <c r="G83" t="s">
        <v>13</v>
      </c>
      <c r="H83" s="2">
        <v>19.7896</v>
      </c>
      <c r="I83" s="2">
        <v>72.819199999999995</v>
      </c>
      <c r="J83">
        <v>774</v>
      </c>
      <c r="K83" s="2">
        <f>Main_Data[[#This Row],[Current Stock]]*Main_Data[[#This Row],[Unit Cost]]</f>
        <v>949.9008</v>
      </c>
      <c r="L83" s="3">
        <f>(Main_Data[[#This Row],[Unit Selling Price]] - Main_Data[[#This Row],[Unit Cost]]) /Main_Data[[#This Row],[Unit Selling Price]]</f>
        <v>0.72823650905255755</v>
      </c>
      <c r="M83" s="2">
        <f>(Main_Data[[#This Row],[Total Units Sold]] *Main_Data[[#This Row],[Unit Selling Price]])-Main_Data[[#This Row],[Total Units Sold]]*Main_Data[[#This Row],[Unit Cost]]</f>
        <v>41044.910400000001</v>
      </c>
      <c r="N83" s="4">
        <f>Main_Data[[#This Row],[Total Units Sold]] / IF(Main_Data[[#This Row],[Current Stock]]=0, 1,Main_Data[[#This Row],[Current Stock]])</f>
        <v>16.125</v>
      </c>
      <c r="O83" s="2" t="str">
        <f>IF(Main_Data[[#This Row],[Unit Cost]] &gt; Main_Data[[#This Row],[Unit Selling Price]], "LOSS MAKER", "Profitable")</f>
        <v>Profitable</v>
      </c>
      <c r="P83" s="2" t="str">
        <f>IF(Main_Data[[#This Row],[Current Stock]] &lt;= Main_Data[[#This Row],[Reorder Quantity]], "Reorder", "No")</f>
        <v>No</v>
      </c>
    </row>
    <row r="84" spans="1:16" x14ac:dyDescent="0.3">
      <c r="A84" t="s">
        <v>105</v>
      </c>
      <c r="B84" t="s">
        <v>15</v>
      </c>
      <c r="C84">
        <v>42</v>
      </c>
      <c r="D84" t="s">
        <v>12</v>
      </c>
      <c r="E84">
        <v>72</v>
      </c>
      <c r="F84" s="1">
        <v>19</v>
      </c>
      <c r="G84" t="s">
        <v>32</v>
      </c>
      <c r="H84" s="2">
        <v>4.4653</v>
      </c>
      <c r="I84" s="2">
        <v>17.0349</v>
      </c>
      <c r="J84">
        <v>336</v>
      </c>
      <c r="K84" s="2">
        <f>Main_Data[[#This Row],[Current Stock]]*Main_Data[[#This Row],[Unit Cost]]</f>
        <v>187.54259999999999</v>
      </c>
      <c r="L84" s="3">
        <f>(Main_Data[[#This Row],[Unit Selling Price]] - Main_Data[[#This Row],[Unit Cost]]) /Main_Data[[#This Row],[Unit Selling Price]]</f>
        <v>0.73787342455781957</v>
      </c>
      <c r="M84" s="2">
        <f>(Main_Data[[#This Row],[Total Units Sold]] *Main_Data[[#This Row],[Unit Selling Price]])-Main_Data[[#This Row],[Total Units Sold]]*Main_Data[[#This Row],[Unit Cost]]</f>
        <v>4223.3856000000005</v>
      </c>
      <c r="N84" s="4">
        <f>Main_Data[[#This Row],[Total Units Sold]] / IF(Main_Data[[#This Row],[Current Stock]]=0, 1,Main_Data[[#This Row],[Current Stock]])</f>
        <v>8</v>
      </c>
      <c r="O84" s="2" t="str">
        <f>IF(Main_Data[[#This Row],[Unit Cost]] &gt; Main_Data[[#This Row],[Unit Selling Price]], "LOSS MAKER", "Profitable")</f>
        <v>Profitable</v>
      </c>
      <c r="P84" s="2" t="str">
        <f>IF(Main_Data[[#This Row],[Current Stock]] &lt;= Main_Data[[#This Row],[Reorder Quantity]], "Reorder", "No")</f>
        <v>Reorder</v>
      </c>
    </row>
    <row r="85" spans="1:16" x14ac:dyDescent="0.3">
      <c r="A85" t="s">
        <v>106</v>
      </c>
      <c r="B85" t="s">
        <v>11</v>
      </c>
      <c r="C85">
        <v>65</v>
      </c>
      <c r="D85" t="s">
        <v>24</v>
      </c>
      <c r="E85">
        <v>7</v>
      </c>
      <c r="F85" s="1">
        <v>24</v>
      </c>
      <c r="G85" t="s">
        <v>17</v>
      </c>
      <c r="H85" s="2">
        <v>97.730599999999995</v>
      </c>
      <c r="I85" s="2">
        <v>68.911199999999994</v>
      </c>
      <c r="J85">
        <v>663</v>
      </c>
      <c r="K85" s="2">
        <f>Main_Data[[#This Row],[Current Stock]]*Main_Data[[#This Row],[Unit Cost]]</f>
        <v>6352.4889999999996</v>
      </c>
      <c r="L85" s="3">
        <f>(Main_Data[[#This Row],[Unit Selling Price]] - Main_Data[[#This Row],[Unit Cost]]) /Main_Data[[#This Row],[Unit Selling Price]]</f>
        <v>-0.41821068273372114</v>
      </c>
      <c r="M85" s="2">
        <f>(Main_Data[[#This Row],[Total Units Sold]] *Main_Data[[#This Row],[Unit Selling Price]])-Main_Data[[#This Row],[Total Units Sold]]*Main_Data[[#This Row],[Unit Cost]]</f>
        <v>-19107.262199999997</v>
      </c>
      <c r="N85" s="4">
        <f>Main_Data[[#This Row],[Total Units Sold]] / IF(Main_Data[[#This Row],[Current Stock]]=0, 1,Main_Data[[#This Row],[Current Stock]])</f>
        <v>10.199999999999999</v>
      </c>
      <c r="O85" s="2" t="str">
        <f>IF(Main_Data[[#This Row],[Unit Cost]] &gt; Main_Data[[#This Row],[Unit Selling Price]], "LOSS MAKER", "Profitable")</f>
        <v>LOSS MAKER</v>
      </c>
      <c r="P85" s="2" t="str">
        <f>IF(Main_Data[[#This Row],[Current Stock]] &lt;= Main_Data[[#This Row],[Reorder Quantity]], "Reorder", "No")</f>
        <v>No</v>
      </c>
    </row>
    <row r="86" spans="1:16" x14ac:dyDescent="0.3">
      <c r="A86" t="s">
        <v>107</v>
      </c>
      <c r="B86" t="s">
        <v>11</v>
      </c>
      <c r="C86">
        <v>73</v>
      </c>
      <c r="D86" t="s">
        <v>31</v>
      </c>
      <c r="E86">
        <v>80</v>
      </c>
      <c r="F86" s="1">
        <v>26</v>
      </c>
      <c r="G86" t="s">
        <v>20</v>
      </c>
      <c r="H86" s="2">
        <v>33.808599999999998</v>
      </c>
      <c r="I86" s="2">
        <v>89.104399999999998</v>
      </c>
      <c r="J86">
        <v>618</v>
      </c>
      <c r="K86" s="2">
        <f>Main_Data[[#This Row],[Current Stock]]*Main_Data[[#This Row],[Unit Cost]]</f>
        <v>2468.0277999999998</v>
      </c>
      <c r="L86" s="3">
        <f>(Main_Data[[#This Row],[Unit Selling Price]] - Main_Data[[#This Row],[Unit Cost]]) /Main_Data[[#This Row],[Unit Selling Price]]</f>
        <v>0.62057317034849013</v>
      </c>
      <c r="M86" s="2">
        <f>(Main_Data[[#This Row],[Total Units Sold]] *Main_Data[[#This Row],[Unit Selling Price]])-Main_Data[[#This Row],[Total Units Sold]]*Main_Data[[#This Row],[Unit Cost]]</f>
        <v>34172.804400000008</v>
      </c>
      <c r="N86" s="4">
        <f>Main_Data[[#This Row],[Total Units Sold]] / IF(Main_Data[[#This Row],[Current Stock]]=0, 1,Main_Data[[#This Row],[Current Stock]])</f>
        <v>8.4657534246575334</v>
      </c>
      <c r="O86" s="2" t="str">
        <f>IF(Main_Data[[#This Row],[Unit Cost]] &gt; Main_Data[[#This Row],[Unit Selling Price]], "LOSS MAKER", "Profitable")</f>
        <v>Profitable</v>
      </c>
      <c r="P86" s="2" t="str">
        <f>IF(Main_Data[[#This Row],[Current Stock]] &lt;= Main_Data[[#This Row],[Reorder Quantity]], "Reorder", "No")</f>
        <v>Reorder</v>
      </c>
    </row>
    <row r="87" spans="1:16" x14ac:dyDescent="0.3">
      <c r="A87" t="s">
        <v>108</v>
      </c>
      <c r="B87" t="s">
        <v>28</v>
      </c>
      <c r="C87">
        <v>15</v>
      </c>
      <c r="D87" t="s">
        <v>31</v>
      </c>
      <c r="E87">
        <v>66</v>
      </c>
      <c r="F87" s="1">
        <v>18</v>
      </c>
      <c r="G87" t="s">
        <v>20</v>
      </c>
      <c r="H87" s="2">
        <v>69.929299999999998</v>
      </c>
      <c r="I87" s="2">
        <v>76.962999999999994</v>
      </c>
      <c r="J87">
        <v>25</v>
      </c>
      <c r="K87" s="2">
        <f>Main_Data[[#This Row],[Current Stock]]*Main_Data[[#This Row],[Unit Cost]]</f>
        <v>1048.9395</v>
      </c>
      <c r="L87" s="3">
        <f>(Main_Data[[#This Row],[Unit Selling Price]] - Main_Data[[#This Row],[Unit Cost]]) /Main_Data[[#This Row],[Unit Selling Price]]</f>
        <v>9.1390668243181747E-2</v>
      </c>
      <c r="M87" s="2">
        <f>(Main_Data[[#This Row],[Total Units Sold]] *Main_Data[[#This Row],[Unit Selling Price]])-Main_Data[[#This Row],[Total Units Sold]]*Main_Data[[#This Row],[Unit Cost]]</f>
        <v>175.84249999999997</v>
      </c>
      <c r="N87" s="4">
        <f>Main_Data[[#This Row],[Total Units Sold]] / IF(Main_Data[[#This Row],[Current Stock]]=0, 1,Main_Data[[#This Row],[Current Stock]])</f>
        <v>1.6666666666666667</v>
      </c>
      <c r="O87" s="2" t="str">
        <f>IF(Main_Data[[#This Row],[Unit Cost]] &gt; Main_Data[[#This Row],[Unit Selling Price]], "LOSS MAKER", "Profitable")</f>
        <v>Profitable</v>
      </c>
      <c r="P87" s="2" t="str">
        <f>IF(Main_Data[[#This Row],[Current Stock]] &lt;= Main_Data[[#This Row],[Reorder Quantity]], "Reorder", "No")</f>
        <v>Reorder</v>
      </c>
    </row>
    <row r="88" spans="1:16" x14ac:dyDescent="0.3">
      <c r="A88" t="s">
        <v>109</v>
      </c>
      <c r="B88" t="s">
        <v>15</v>
      </c>
      <c r="C88">
        <v>32</v>
      </c>
      <c r="D88" t="s">
        <v>12</v>
      </c>
      <c r="E88">
        <v>22</v>
      </c>
      <c r="F88" s="1">
        <v>14</v>
      </c>
      <c r="G88" t="s">
        <v>17</v>
      </c>
      <c r="H88" s="2">
        <v>74.608999999999995</v>
      </c>
      <c r="I88" s="2">
        <v>19.998200000000001</v>
      </c>
      <c r="J88">
        <v>223</v>
      </c>
      <c r="K88" s="2">
        <f>Main_Data[[#This Row],[Current Stock]]*Main_Data[[#This Row],[Unit Cost]]</f>
        <v>2387.4879999999998</v>
      </c>
      <c r="L88" s="3">
        <f>(Main_Data[[#This Row],[Unit Selling Price]] - Main_Data[[#This Row],[Unit Cost]]) /Main_Data[[#This Row],[Unit Selling Price]]</f>
        <v>-2.7307857707193643</v>
      </c>
      <c r="M88" s="2">
        <f>(Main_Data[[#This Row],[Total Units Sold]] *Main_Data[[#This Row],[Unit Selling Price]])-Main_Data[[#This Row],[Total Units Sold]]*Main_Data[[#This Row],[Unit Cost]]</f>
        <v>-12178.208399999996</v>
      </c>
      <c r="N88" s="4">
        <f>Main_Data[[#This Row],[Total Units Sold]] / IF(Main_Data[[#This Row],[Current Stock]]=0, 1,Main_Data[[#This Row],[Current Stock]])</f>
        <v>6.96875</v>
      </c>
      <c r="O88" s="2" t="str">
        <f>IF(Main_Data[[#This Row],[Unit Cost]] &gt; Main_Data[[#This Row],[Unit Selling Price]], "LOSS MAKER", "Profitable")</f>
        <v>LOSS MAKER</v>
      </c>
      <c r="P88" s="2" t="str">
        <f>IF(Main_Data[[#This Row],[Current Stock]] &lt;= Main_Data[[#This Row],[Reorder Quantity]], "Reorder", "No")</f>
        <v>No</v>
      </c>
    </row>
    <row r="89" spans="1:16" x14ac:dyDescent="0.3">
      <c r="A89" t="s">
        <v>110</v>
      </c>
      <c r="B89" t="s">
        <v>11</v>
      </c>
      <c r="C89">
        <v>5</v>
      </c>
      <c r="D89" t="s">
        <v>31</v>
      </c>
      <c r="E89">
        <v>55</v>
      </c>
      <c r="F89" s="1">
        <v>7</v>
      </c>
      <c r="G89" t="s">
        <v>13</v>
      </c>
      <c r="H89" s="2">
        <v>28.696999999999999</v>
      </c>
      <c r="I89" s="2">
        <v>80.414000000000001</v>
      </c>
      <c r="J89">
        <v>79</v>
      </c>
      <c r="K89" s="2">
        <f>Main_Data[[#This Row],[Current Stock]]*Main_Data[[#This Row],[Unit Cost]]</f>
        <v>143.48499999999999</v>
      </c>
      <c r="L89" s="3">
        <f>(Main_Data[[#This Row],[Unit Selling Price]] - Main_Data[[#This Row],[Unit Cost]]) /Main_Data[[#This Row],[Unit Selling Price]]</f>
        <v>0.64313428010048002</v>
      </c>
      <c r="M89" s="2">
        <f>(Main_Data[[#This Row],[Total Units Sold]] *Main_Data[[#This Row],[Unit Selling Price]])-Main_Data[[#This Row],[Total Units Sold]]*Main_Data[[#This Row],[Unit Cost]]</f>
        <v>4085.643</v>
      </c>
      <c r="N89" s="4">
        <f>Main_Data[[#This Row],[Total Units Sold]] / IF(Main_Data[[#This Row],[Current Stock]]=0, 1,Main_Data[[#This Row],[Current Stock]])</f>
        <v>15.8</v>
      </c>
      <c r="O89" s="2" t="str">
        <f>IF(Main_Data[[#This Row],[Unit Cost]] &gt; Main_Data[[#This Row],[Unit Selling Price]], "LOSS MAKER", "Profitable")</f>
        <v>Profitable</v>
      </c>
      <c r="P89" s="2" t="str">
        <f>IF(Main_Data[[#This Row],[Current Stock]] &lt;= Main_Data[[#This Row],[Reorder Quantity]], "Reorder", "No")</f>
        <v>Reorder</v>
      </c>
    </row>
    <row r="90" spans="1:16" x14ac:dyDescent="0.3">
      <c r="A90" t="s">
        <v>111</v>
      </c>
      <c r="B90" t="s">
        <v>28</v>
      </c>
      <c r="C90">
        <v>60</v>
      </c>
      <c r="D90" t="s">
        <v>12</v>
      </c>
      <c r="E90">
        <v>85</v>
      </c>
      <c r="F90" s="1">
        <v>18</v>
      </c>
      <c r="G90" t="s">
        <v>32</v>
      </c>
      <c r="H90" s="2">
        <v>68.184899999999999</v>
      </c>
      <c r="I90" s="2">
        <v>75.270399999999995</v>
      </c>
      <c r="J90">
        <v>737</v>
      </c>
      <c r="K90" s="2">
        <f>Main_Data[[#This Row],[Current Stock]]*Main_Data[[#This Row],[Unit Cost]]</f>
        <v>4091.0940000000001</v>
      </c>
      <c r="L90" s="3">
        <f>(Main_Data[[#This Row],[Unit Selling Price]] - Main_Data[[#This Row],[Unit Cost]]) /Main_Data[[#This Row],[Unit Selling Price]]</f>
        <v>9.4133949068956682E-2</v>
      </c>
      <c r="M90" s="2">
        <f>(Main_Data[[#This Row],[Total Units Sold]] *Main_Data[[#This Row],[Unit Selling Price]])-Main_Data[[#This Row],[Total Units Sold]]*Main_Data[[#This Row],[Unit Cost]]</f>
        <v>5222.0134999999937</v>
      </c>
      <c r="N90" s="4">
        <f>Main_Data[[#This Row],[Total Units Sold]] / IF(Main_Data[[#This Row],[Current Stock]]=0, 1,Main_Data[[#This Row],[Current Stock]])</f>
        <v>12.283333333333333</v>
      </c>
      <c r="O90" s="2" t="str">
        <f>IF(Main_Data[[#This Row],[Unit Cost]] &gt; Main_Data[[#This Row],[Unit Selling Price]], "LOSS MAKER", "Profitable")</f>
        <v>Profitable</v>
      </c>
      <c r="P90" s="2" t="str">
        <f>IF(Main_Data[[#This Row],[Current Stock]] &lt;= Main_Data[[#This Row],[Reorder Quantity]], "Reorder", "No")</f>
        <v>Reorder</v>
      </c>
    </row>
    <row r="91" spans="1:16" x14ac:dyDescent="0.3">
      <c r="A91" t="s">
        <v>112</v>
      </c>
      <c r="B91" t="s">
        <v>28</v>
      </c>
      <c r="C91">
        <v>90</v>
      </c>
      <c r="D91" t="s">
        <v>19</v>
      </c>
      <c r="E91">
        <v>27</v>
      </c>
      <c r="F91" s="1">
        <v>1</v>
      </c>
      <c r="G91" t="s">
        <v>17</v>
      </c>
      <c r="H91" s="2">
        <v>46.603900000000003</v>
      </c>
      <c r="I91" s="2">
        <v>97.760099999999994</v>
      </c>
      <c r="J91">
        <v>134</v>
      </c>
      <c r="K91" s="2">
        <f>Main_Data[[#This Row],[Current Stock]]*Main_Data[[#This Row],[Unit Cost]]</f>
        <v>4194.3510000000006</v>
      </c>
      <c r="L91" s="3">
        <f>(Main_Data[[#This Row],[Unit Selling Price]] - Main_Data[[#This Row],[Unit Cost]]) /Main_Data[[#This Row],[Unit Selling Price]]</f>
        <v>0.5232830162816936</v>
      </c>
      <c r="M91" s="2">
        <f>(Main_Data[[#This Row],[Total Units Sold]] *Main_Data[[#This Row],[Unit Selling Price]])-Main_Data[[#This Row],[Total Units Sold]]*Main_Data[[#This Row],[Unit Cost]]</f>
        <v>6854.9307999999992</v>
      </c>
      <c r="N91" s="4">
        <f>Main_Data[[#This Row],[Total Units Sold]] / IF(Main_Data[[#This Row],[Current Stock]]=0, 1,Main_Data[[#This Row],[Current Stock]])</f>
        <v>1.4888888888888889</v>
      </c>
      <c r="O91" s="2" t="str">
        <f>IF(Main_Data[[#This Row],[Unit Cost]] &gt; Main_Data[[#This Row],[Unit Selling Price]], "LOSS MAKER", "Profitable")</f>
        <v>Profitable</v>
      </c>
      <c r="P91" s="2" t="str">
        <f>IF(Main_Data[[#This Row],[Current Stock]] &lt;= Main_Data[[#This Row],[Reorder Quantity]], "Reorder", "No")</f>
        <v>No</v>
      </c>
    </row>
    <row r="92" spans="1:16" x14ac:dyDescent="0.3">
      <c r="A92" t="s">
        <v>113</v>
      </c>
      <c r="B92" t="s">
        <v>15</v>
      </c>
      <c r="C92">
        <v>66</v>
      </c>
      <c r="D92" t="s">
        <v>24</v>
      </c>
      <c r="E92">
        <v>96</v>
      </c>
      <c r="F92" s="1">
        <v>18</v>
      </c>
      <c r="G92" t="s">
        <v>13</v>
      </c>
      <c r="H92" s="2">
        <v>85.676000000000002</v>
      </c>
      <c r="I92" s="2">
        <v>13.8819</v>
      </c>
      <c r="J92">
        <v>320</v>
      </c>
      <c r="K92" s="2">
        <f>Main_Data[[#This Row],[Current Stock]]*Main_Data[[#This Row],[Unit Cost]]</f>
        <v>5654.616</v>
      </c>
      <c r="L92" s="3">
        <f>(Main_Data[[#This Row],[Unit Selling Price]] - Main_Data[[#This Row],[Unit Cost]]) /Main_Data[[#This Row],[Unit Selling Price]]</f>
        <v>-5.171777638507697</v>
      </c>
      <c r="M92" s="2">
        <f>(Main_Data[[#This Row],[Total Units Sold]] *Main_Data[[#This Row],[Unit Selling Price]])-Main_Data[[#This Row],[Total Units Sold]]*Main_Data[[#This Row],[Unit Cost]]</f>
        <v>-22974.112000000001</v>
      </c>
      <c r="N92" s="4">
        <f>Main_Data[[#This Row],[Total Units Sold]] / IF(Main_Data[[#This Row],[Current Stock]]=0, 1,Main_Data[[#This Row],[Current Stock]])</f>
        <v>4.8484848484848486</v>
      </c>
      <c r="O92" s="2" t="str">
        <f>IF(Main_Data[[#This Row],[Unit Cost]] &gt; Main_Data[[#This Row],[Unit Selling Price]], "LOSS MAKER", "Profitable")</f>
        <v>LOSS MAKER</v>
      </c>
      <c r="P92" s="2" t="str">
        <f>IF(Main_Data[[#This Row],[Current Stock]] &lt;= Main_Data[[#This Row],[Reorder Quantity]], "Reorder", "No")</f>
        <v>Reorder</v>
      </c>
    </row>
    <row r="93" spans="1:16" x14ac:dyDescent="0.3">
      <c r="A93" t="s">
        <v>114</v>
      </c>
      <c r="B93" t="s">
        <v>28</v>
      </c>
      <c r="C93">
        <v>98</v>
      </c>
      <c r="D93" t="s">
        <v>22</v>
      </c>
      <c r="E93">
        <v>85</v>
      </c>
      <c r="F93" s="1">
        <v>22</v>
      </c>
      <c r="G93" t="s">
        <v>25</v>
      </c>
      <c r="H93" s="2">
        <v>39.7729</v>
      </c>
      <c r="I93" s="2">
        <v>62.112000000000002</v>
      </c>
      <c r="J93">
        <v>916</v>
      </c>
      <c r="K93" s="2">
        <f>Main_Data[[#This Row],[Current Stock]]*Main_Data[[#This Row],[Unit Cost]]</f>
        <v>3897.7442000000001</v>
      </c>
      <c r="L93" s="3">
        <f>(Main_Data[[#This Row],[Unit Selling Price]] - Main_Data[[#This Row],[Unit Cost]]) /Main_Data[[#This Row],[Unit Selling Price]]</f>
        <v>0.35965835909325095</v>
      </c>
      <c r="M93" s="2">
        <f>(Main_Data[[#This Row],[Total Units Sold]] *Main_Data[[#This Row],[Unit Selling Price]])-Main_Data[[#This Row],[Total Units Sold]]*Main_Data[[#This Row],[Unit Cost]]</f>
        <v>20462.615600000005</v>
      </c>
      <c r="N93" s="4">
        <f>Main_Data[[#This Row],[Total Units Sold]] / IF(Main_Data[[#This Row],[Current Stock]]=0, 1,Main_Data[[#This Row],[Current Stock]])</f>
        <v>9.3469387755102034</v>
      </c>
      <c r="O93" s="2" t="str">
        <f>IF(Main_Data[[#This Row],[Unit Cost]] &gt; Main_Data[[#This Row],[Unit Selling Price]], "LOSS MAKER", "Profitable")</f>
        <v>Profitable</v>
      </c>
      <c r="P93" s="2" t="str">
        <f>IF(Main_Data[[#This Row],[Current Stock]] &lt;= Main_Data[[#This Row],[Reorder Quantity]], "Reorder", "No")</f>
        <v>No</v>
      </c>
    </row>
    <row r="94" spans="1:16" x14ac:dyDescent="0.3">
      <c r="A94" t="s">
        <v>115</v>
      </c>
      <c r="B94" t="s">
        <v>28</v>
      </c>
      <c r="C94">
        <v>90</v>
      </c>
      <c r="D94" t="s">
        <v>12</v>
      </c>
      <c r="E94">
        <v>10</v>
      </c>
      <c r="F94" s="1">
        <v>25</v>
      </c>
      <c r="G94" t="s">
        <v>32</v>
      </c>
      <c r="H94" s="2">
        <v>62.612699999999997</v>
      </c>
      <c r="I94" s="2">
        <v>47.714199999999998</v>
      </c>
      <c r="J94">
        <v>276</v>
      </c>
      <c r="K94" s="2">
        <f>Main_Data[[#This Row],[Current Stock]]*Main_Data[[#This Row],[Unit Cost]]</f>
        <v>5635.143</v>
      </c>
      <c r="L94" s="3">
        <f>(Main_Data[[#This Row],[Unit Selling Price]] - Main_Data[[#This Row],[Unit Cost]]) /Main_Data[[#This Row],[Unit Selling Price]]</f>
        <v>-0.3122445728944423</v>
      </c>
      <c r="M94" s="2">
        <f>(Main_Data[[#This Row],[Total Units Sold]] *Main_Data[[#This Row],[Unit Selling Price]])-Main_Data[[#This Row],[Total Units Sold]]*Main_Data[[#This Row],[Unit Cost]]</f>
        <v>-4111.985999999999</v>
      </c>
      <c r="N94" s="4">
        <f>Main_Data[[#This Row],[Total Units Sold]] / IF(Main_Data[[#This Row],[Current Stock]]=0, 1,Main_Data[[#This Row],[Current Stock]])</f>
        <v>3.0666666666666669</v>
      </c>
      <c r="O94" s="2" t="str">
        <f>IF(Main_Data[[#This Row],[Unit Cost]] &gt; Main_Data[[#This Row],[Unit Selling Price]], "LOSS MAKER", "Profitable")</f>
        <v>LOSS MAKER</v>
      </c>
      <c r="P94" s="2" t="str">
        <f>IF(Main_Data[[#This Row],[Current Stock]] &lt;= Main_Data[[#This Row],[Reorder Quantity]], "Reorder", "No")</f>
        <v>No</v>
      </c>
    </row>
    <row r="95" spans="1:16" x14ac:dyDescent="0.3">
      <c r="A95" t="s">
        <v>116</v>
      </c>
      <c r="B95" t="s">
        <v>11</v>
      </c>
      <c r="C95">
        <v>63</v>
      </c>
      <c r="D95" t="s">
        <v>31</v>
      </c>
      <c r="E95">
        <v>66</v>
      </c>
      <c r="F95" s="1">
        <v>17</v>
      </c>
      <c r="G95" t="s">
        <v>25</v>
      </c>
      <c r="H95" s="2">
        <v>35.633699999999997</v>
      </c>
      <c r="I95" s="2">
        <v>69.290800000000004</v>
      </c>
      <c r="J95">
        <v>114</v>
      </c>
      <c r="K95" s="2">
        <f>Main_Data[[#This Row],[Current Stock]]*Main_Data[[#This Row],[Unit Cost]]</f>
        <v>2244.9231</v>
      </c>
      <c r="L95" s="3">
        <f>(Main_Data[[#This Row],[Unit Selling Price]] - Main_Data[[#This Row],[Unit Cost]]) /Main_Data[[#This Row],[Unit Selling Price]]</f>
        <v>0.48573692322790335</v>
      </c>
      <c r="M95" s="2">
        <f>(Main_Data[[#This Row],[Total Units Sold]] *Main_Data[[#This Row],[Unit Selling Price]])-Main_Data[[#This Row],[Total Units Sold]]*Main_Data[[#This Row],[Unit Cost]]</f>
        <v>3836.9094000000005</v>
      </c>
      <c r="N95" s="4">
        <f>Main_Data[[#This Row],[Total Units Sold]] / IF(Main_Data[[#This Row],[Current Stock]]=0, 1,Main_Data[[#This Row],[Current Stock]])</f>
        <v>1.8095238095238095</v>
      </c>
      <c r="O95" s="2" t="str">
        <f>IF(Main_Data[[#This Row],[Unit Cost]] &gt; Main_Data[[#This Row],[Unit Selling Price]], "LOSS MAKER", "Profitable")</f>
        <v>Profitable</v>
      </c>
      <c r="P95" s="2" t="str">
        <f>IF(Main_Data[[#This Row],[Current Stock]] &lt;= Main_Data[[#This Row],[Reorder Quantity]], "Reorder", "No")</f>
        <v>Reorder</v>
      </c>
    </row>
    <row r="96" spans="1:16" x14ac:dyDescent="0.3">
      <c r="A96" t="s">
        <v>117</v>
      </c>
      <c r="B96" t="s">
        <v>28</v>
      </c>
      <c r="C96">
        <v>77</v>
      </c>
      <c r="D96" t="s">
        <v>22</v>
      </c>
      <c r="E96">
        <v>72</v>
      </c>
      <c r="F96" s="1">
        <v>26</v>
      </c>
      <c r="G96" t="s">
        <v>32</v>
      </c>
      <c r="H96" s="2">
        <v>60.3874</v>
      </c>
      <c r="I96" s="2">
        <v>3.0377000000000001</v>
      </c>
      <c r="J96">
        <v>987</v>
      </c>
      <c r="K96" s="2">
        <f>Main_Data[[#This Row],[Current Stock]]*Main_Data[[#This Row],[Unit Cost]]</f>
        <v>4649.8297999999995</v>
      </c>
      <c r="L96" s="3">
        <f>(Main_Data[[#This Row],[Unit Selling Price]] - Main_Data[[#This Row],[Unit Cost]]) /Main_Data[[#This Row],[Unit Selling Price]]</f>
        <v>-18.879316588208184</v>
      </c>
      <c r="M96" s="2">
        <f>(Main_Data[[#This Row],[Total Units Sold]] *Main_Data[[#This Row],[Unit Selling Price]])-Main_Data[[#This Row],[Total Units Sold]]*Main_Data[[#This Row],[Unit Cost]]</f>
        <v>-56604.153899999998</v>
      </c>
      <c r="N96" s="4">
        <f>Main_Data[[#This Row],[Total Units Sold]] / IF(Main_Data[[#This Row],[Current Stock]]=0, 1,Main_Data[[#This Row],[Current Stock]])</f>
        <v>12.818181818181818</v>
      </c>
      <c r="O96" s="2" t="str">
        <f>IF(Main_Data[[#This Row],[Unit Cost]] &gt; Main_Data[[#This Row],[Unit Selling Price]], "LOSS MAKER", "Profitable")</f>
        <v>LOSS MAKER</v>
      </c>
      <c r="P96" s="2" t="str">
        <f>IF(Main_Data[[#This Row],[Current Stock]] &lt;= Main_Data[[#This Row],[Reorder Quantity]], "Reorder", "No")</f>
        <v>No</v>
      </c>
    </row>
    <row r="97" spans="1:16" x14ac:dyDescent="0.3">
      <c r="A97" t="s">
        <v>118</v>
      </c>
      <c r="B97" t="s">
        <v>11</v>
      </c>
      <c r="C97">
        <v>15</v>
      </c>
      <c r="D97" t="s">
        <v>12</v>
      </c>
      <c r="E97">
        <v>26</v>
      </c>
      <c r="F97" s="1">
        <v>14</v>
      </c>
      <c r="G97" t="s">
        <v>25</v>
      </c>
      <c r="H97" s="2">
        <v>58.890700000000002</v>
      </c>
      <c r="I97" s="2">
        <v>77.903899999999993</v>
      </c>
      <c r="J97">
        <v>672</v>
      </c>
      <c r="K97" s="2">
        <f>Main_Data[[#This Row],[Current Stock]]*Main_Data[[#This Row],[Unit Cost]]</f>
        <v>883.3605</v>
      </c>
      <c r="L97" s="3">
        <f>(Main_Data[[#This Row],[Unit Selling Price]] - Main_Data[[#This Row],[Unit Cost]]) /Main_Data[[#This Row],[Unit Selling Price]]</f>
        <v>0.24405966838630663</v>
      </c>
      <c r="M97" s="2">
        <f>(Main_Data[[#This Row],[Total Units Sold]] *Main_Data[[#This Row],[Unit Selling Price]])-Main_Data[[#This Row],[Total Units Sold]]*Main_Data[[#This Row],[Unit Cost]]</f>
        <v>12776.870399999993</v>
      </c>
      <c r="N97" s="4">
        <f>Main_Data[[#This Row],[Total Units Sold]] / IF(Main_Data[[#This Row],[Current Stock]]=0, 1,Main_Data[[#This Row],[Current Stock]])</f>
        <v>44.8</v>
      </c>
      <c r="O97" s="2" t="str">
        <f>IF(Main_Data[[#This Row],[Unit Cost]] &gt; Main_Data[[#This Row],[Unit Selling Price]], "LOSS MAKER", "Profitable")</f>
        <v>Profitable</v>
      </c>
      <c r="P97" s="2" t="str">
        <f>IF(Main_Data[[#This Row],[Current Stock]] &lt;= Main_Data[[#This Row],[Reorder Quantity]], "Reorder", "No")</f>
        <v>Reorder</v>
      </c>
    </row>
    <row r="98" spans="1:16" x14ac:dyDescent="0.3">
      <c r="A98" t="s">
        <v>119</v>
      </c>
      <c r="B98" t="s">
        <v>28</v>
      </c>
      <c r="C98">
        <v>67</v>
      </c>
      <c r="D98" t="s">
        <v>12</v>
      </c>
      <c r="E98">
        <v>32</v>
      </c>
      <c r="F98" s="1">
        <v>2</v>
      </c>
      <c r="G98" t="s">
        <v>13</v>
      </c>
      <c r="H98" s="2">
        <v>17.803799999999999</v>
      </c>
      <c r="I98" s="2">
        <v>24.423100000000002</v>
      </c>
      <c r="J98">
        <v>324</v>
      </c>
      <c r="K98" s="2">
        <f>Main_Data[[#This Row],[Current Stock]]*Main_Data[[#This Row],[Unit Cost]]</f>
        <v>1192.8545999999999</v>
      </c>
      <c r="L98" s="3">
        <f>(Main_Data[[#This Row],[Unit Selling Price]] - Main_Data[[#This Row],[Unit Cost]]) /Main_Data[[#This Row],[Unit Selling Price]]</f>
        <v>0.27102620060516486</v>
      </c>
      <c r="M98" s="2">
        <f>(Main_Data[[#This Row],[Total Units Sold]] *Main_Data[[#This Row],[Unit Selling Price]])-Main_Data[[#This Row],[Total Units Sold]]*Main_Data[[#This Row],[Unit Cost]]</f>
        <v>2144.6532000000007</v>
      </c>
      <c r="N98" s="4">
        <f>Main_Data[[#This Row],[Total Units Sold]] / IF(Main_Data[[#This Row],[Current Stock]]=0, 1,Main_Data[[#This Row],[Current Stock]])</f>
        <v>4.8358208955223878</v>
      </c>
      <c r="O98" s="2" t="str">
        <f>IF(Main_Data[[#This Row],[Unit Cost]] &gt; Main_Data[[#This Row],[Unit Selling Price]], "LOSS MAKER", "Profitable")</f>
        <v>Profitable</v>
      </c>
      <c r="P98" s="2" t="str">
        <f>IF(Main_Data[[#This Row],[Current Stock]] &lt;= Main_Data[[#This Row],[Reorder Quantity]], "Reorder", "No")</f>
        <v>No</v>
      </c>
    </row>
    <row r="99" spans="1:16" x14ac:dyDescent="0.3">
      <c r="A99" t="s">
        <v>120</v>
      </c>
      <c r="B99" t="s">
        <v>11</v>
      </c>
      <c r="C99">
        <v>46</v>
      </c>
      <c r="D99" t="s">
        <v>12</v>
      </c>
      <c r="E99">
        <v>4</v>
      </c>
      <c r="F99" s="1">
        <v>19</v>
      </c>
      <c r="G99" t="s">
        <v>25</v>
      </c>
      <c r="H99" s="2">
        <v>65.765199999999993</v>
      </c>
      <c r="I99" s="2">
        <v>3.5261</v>
      </c>
      <c r="J99">
        <v>62</v>
      </c>
      <c r="K99" s="2">
        <f>Main_Data[[#This Row],[Current Stock]]*Main_Data[[#This Row],[Unit Cost]]</f>
        <v>3025.1991999999996</v>
      </c>
      <c r="L99" s="3">
        <f>(Main_Data[[#This Row],[Unit Selling Price]] - Main_Data[[#This Row],[Unit Cost]]) /Main_Data[[#This Row],[Unit Selling Price]]</f>
        <v>-17.650974164090638</v>
      </c>
      <c r="M99" s="2">
        <f>(Main_Data[[#This Row],[Total Units Sold]] *Main_Data[[#This Row],[Unit Selling Price]])-Main_Data[[#This Row],[Total Units Sold]]*Main_Data[[#This Row],[Unit Cost]]</f>
        <v>-3858.8241999999996</v>
      </c>
      <c r="N99" s="4">
        <f>Main_Data[[#This Row],[Total Units Sold]] / IF(Main_Data[[#This Row],[Current Stock]]=0, 1,Main_Data[[#This Row],[Current Stock]])</f>
        <v>1.3478260869565217</v>
      </c>
      <c r="O99" s="2" t="str">
        <f>IF(Main_Data[[#This Row],[Unit Cost]] &gt; Main_Data[[#This Row],[Unit Selling Price]], "LOSS MAKER", "Profitable")</f>
        <v>LOSS MAKER</v>
      </c>
      <c r="P99" s="2" t="str">
        <f>IF(Main_Data[[#This Row],[Current Stock]] &lt;= Main_Data[[#This Row],[Reorder Quantity]], "Reorder", "No")</f>
        <v>No</v>
      </c>
    </row>
    <row r="100" spans="1:16" x14ac:dyDescent="0.3">
      <c r="A100" t="s">
        <v>121</v>
      </c>
      <c r="B100" t="s">
        <v>15</v>
      </c>
      <c r="C100">
        <v>53</v>
      </c>
      <c r="D100" t="s">
        <v>31</v>
      </c>
      <c r="E100">
        <v>27</v>
      </c>
      <c r="F100" s="1">
        <v>1</v>
      </c>
      <c r="G100" t="s">
        <v>20</v>
      </c>
      <c r="H100" s="2">
        <v>5.6047000000000002</v>
      </c>
      <c r="I100" s="2">
        <v>19.7546</v>
      </c>
      <c r="J100">
        <v>913</v>
      </c>
      <c r="K100" s="2">
        <f>Main_Data[[#This Row],[Current Stock]]*Main_Data[[#This Row],[Unit Cost]]</f>
        <v>297.04910000000001</v>
      </c>
      <c r="L100" s="3">
        <f>(Main_Data[[#This Row],[Unit Selling Price]] - Main_Data[[#This Row],[Unit Cost]]) /Main_Data[[#This Row],[Unit Selling Price]]</f>
        <v>0.71628380225365229</v>
      </c>
      <c r="M100" s="2">
        <f>(Main_Data[[#This Row],[Total Units Sold]] *Main_Data[[#This Row],[Unit Selling Price]])-Main_Data[[#This Row],[Total Units Sold]]*Main_Data[[#This Row],[Unit Cost]]</f>
        <v>12918.858699999997</v>
      </c>
      <c r="N100" s="4">
        <f>Main_Data[[#This Row],[Total Units Sold]] / IF(Main_Data[[#This Row],[Current Stock]]=0, 1,Main_Data[[#This Row],[Current Stock]])</f>
        <v>17.226415094339622</v>
      </c>
      <c r="O100" s="2" t="str">
        <f>IF(Main_Data[[#This Row],[Unit Cost]] &gt; Main_Data[[#This Row],[Unit Selling Price]], "LOSS MAKER", "Profitable")</f>
        <v>Profitable</v>
      </c>
      <c r="P100" s="2" t="str">
        <f>IF(Main_Data[[#This Row],[Current Stock]] &lt;= Main_Data[[#This Row],[Reorder Quantity]], "Reorder", "No")</f>
        <v>No</v>
      </c>
    </row>
    <row r="101" spans="1:16" x14ac:dyDescent="0.3">
      <c r="A101" t="s">
        <v>122</v>
      </c>
      <c r="B101" t="s">
        <v>11</v>
      </c>
      <c r="C101">
        <v>55</v>
      </c>
      <c r="D101" t="s">
        <v>31</v>
      </c>
      <c r="E101">
        <v>59</v>
      </c>
      <c r="F101" s="1">
        <v>8</v>
      </c>
      <c r="G101" t="s">
        <v>32</v>
      </c>
      <c r="H101" s="2">
        <v>38.072899999999997</v>
      </c>
      <c r="I101" s="2">
        <v>68.517799999999994</v>
      </c>
      <c r="J101">
        <v>627</v>
      </c>
      <c r="K101" s="2">
        <f>Main_Data[[#This Row],[Current Stock]]*Main_Data[[#This Row],[Unit Cost]]</f>
        <v>2094.0094999999997</v>
      </c>
      <c r="L101" s="3">
        <f>(Main_Data[[#This Row],[Unit Selling Price]] - Main_Data[[#This Row],[Unit Cost]]) /Main_Data[[#This Row],[Unit Selling Price]]</f>
        <v>0.44433563249257857</v>
      </c>
      <c r="M101" s="2">
        <f>(Main_Data[[#This Row],[Total Units Sold]] *Main_Data[[#This Row],[Unit Selling Price]])-Main_Data[[#This Row],[Total Units Sold]]*Main_Data[[#This Row],[Unit Cost]]</f>
        <v>19088.952299999997</v>
      </c>
      <c r="N101" s="4">
        <f>Main_Data[[#This Row],[Total Units Sold]] / IF(Main_Data[[#This Row],[Current Stock]]=0, 1,Main_Data[[#This Row],[Current Stock]])</f>
        <v>11.4</v>
      </c>
      <c r="O101" s="2" t="str">
        <f>IF(Main_Data[[#This Row],[Unit Cost]] &gt; Main_Data[[#This Row],[Unit Selling Price]], "LOSS MAKER", "Profitable")</f>
        <v>Profitable</v>
      </c>
      <c r="P101" s="2" t="str">
        <f>IF(Main_Data[[#This Row],[Current Stock]] &lt;= Main_Data[[#This Row],[Reorder Quantity]], "Reorder", "No")</f>
        <v>Reorder</v>
      </c>
    </row>
    <row r="102" spans="1:16" x14ac:dyDescent="0.3">
      <c r="L102" s="3"/>
      <c r="M102" s="21"/>
      <c r="N102" s="4"/>
      <c r="O102" s="2"/>
      <c r="P102" s="2"/>
    </row>
    <row r="103" spans="1:16" x14ac:dyDescent="0.3">
      <c r="N103" s="2"/>
    </row>
  </sheetData>
  <conditionalFormatting sqref="L1:L101 M102:M1048576">
    <cfRule type="cellIs" dxfId="4" priority="3" operator="lessThan">
      <formula>0</formula>
    </cfRule>
  </conditionalFormatting>
  <conditionalFormatting sqref="M2:M101">
    <cfRule type="cellIs" dxfId="3" priority="2" operator="lessThan">
      <formula>0</formula>
    </cfRule>
  </conditionalFormatting>
  <conditionalFormatting sqref="O2:P101">
    <cfRule type="cellIs" dxfId="2" priority="1" operator="equal">
      <formula>"profitable"</formula>
    </cfRule>
  </conditionalFormatting>
  <conditionalFormatting sqref="P2:P101">
    <cfRule type="cellIs" dxfId="1" priority="4" operator="equal">
      <formula>"reorder"</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4BE03-B636-4C93-B7DC-BEC8E70BBB8E}">
  <dimension ref="B1:J111"/>
  <sheetViews>
    <sheetView workbookViewId="0">
      <selection activeCell="T21" sqref="T21"/>
    </sheetView>
  </sheetViews>
  <sheetFormatPr defaultRowHeight="14.4" x14ac:dyDescent="0.3"/>
  <cols>
    <col min="2" max="2" width="6.21875" bestFit="1" customWidth="1"/>
    <col min="3" max="3" width="14.88671875" bestFit="1" customWidth="1"/>
    <col min="4" max="4" width="12.6640625" bestFit="1" customWidth="1"/>
    <col min="5" max="5" width="14.5546875" bestFit="1" customWidth="1"/>
    <col min="6" max="6" width="12.109375" bestFit="1" customWidth="1"/>
    <col min="7" max="7" width="14.44140625" bestFit="1" customWidth="1"/>
    <col min="8" max="8" width="17.5546875" bestFit="1" customWidth="1"/>
    <col min="9" max="9" width="12.77734375" bestFit="1" customWidth="1"/>
    <col min="10" max="10" width="17.6640625" bestFit="1" customWidth="1"/>
  </cols>
  <sheetData>
    <row r="1" spans="2:10" x14ac:dyDescent="0.3">
      <c r="B1" s="27" t="s">
        <v>130</v>
      </c>
      <c r="C1" s="27"/>
      <c r="D1" s="27"/>
      <c r="E1" s="27"/>
      <c r="F1" s="27"/>
      <c r="G1" s="27"/>
      <c r="H1" s="27"/>
      <c r="I1" s="27"/>
    </row>
    <row r="2" spans="2:10" x14ac:dyDescent="0.3">
      <c r="B2" s="27"/>
      <c r="C2" s="27"/>
      <c r="D2" s="27"/>
      <c r="E2" s="27"/>
      <c r="F2" s="27"/>
      <c r="G2" s="27"/>
      <c r="H2" s="27"/>
      <c r="I2" s="27"/>
    </row>
    <row r="3" spans="2:10" x14ac:dyDescent="0.3">
      <c r="E3" s="2"/>
      <c r="F3" s="2"/>
      <c r="G3" s="2"/>
    </row>
    <row r="4" spans="2:10" x14ac:dyDescent="0.3">
      <c r="E4" s="2"/>
      <c r="F4" s="2"/>
      <c r="G4" s="2"/>
    </row>
    <row r="5" spans="2:10" x14ac:dyDescent="0.3">
      <c r="C5" s="8" t="s">
        <v>131</v>
      </c>
      <c r="D5" s="9">
        <f>SUM(H11:H110)</f>
        <v>228785.20159999997</v>
      </c>
      <c r="E5" s="2"/>
      <c r="F5" s="11" t="s">
        <v>133</v>
      </c>
      <c r="G5" s="12">
        <f ca="1">TODAY()</f>
        <v>46282</v>
      </c>
    </row>
    <row r="6" spans="2:10" x14ac:dyDescent="0.3">
      <c r="C6" s="8" t="s">
        <v>132</v>
      </c>
      <c r="D6" s="10">
        <f>COUNTA(_xlfn.UNIQUE(C11:C110))</f>
        <v>3</v>
      </c>
      <c r="E6" s="2"/>
      <c r="F6" s="11" t="s">
        <v>134</v>
      </c>
      <c r="G6" s="13" t="str">
        <f ca="1">TEXT(G5, "dddd")</f>
        <v>Thursday</v>
      </c>
    </row>
    <row r="7" spans="2:10" x14ac:dyDescent="0.3">
      <c r="E7" s="2"/>
      <c r="F7" s="2"/>
      <c r="G7" s="2"/>
    </row>
    <row r="10" spans="2:10" x14ac:dyDescent="0.3">
      <c r="B10" s="16" t="str" cm="1">
        <f t="array" ref="B10:I111">_xlfn.CHOOSECOLS(Main_Data[#All], 1, 2, 3, 5, 8, 9, 11, 16)</f>
        <v>SKU</v>
      </c>
      <c r="C10" s="16" t="str">
        <v>Product Category</v>
      </c>
      <c r="D10" s="16" t="str">
        <v>Current Stock</v>
      </c>
      <c r="E10" s="16" t="str">
        <v>Reorder Quantity</v>
      </c>
      <c r="F10" s="16" t="str">
        <v>Unit Cost</v>
      </c>
      <c r="G10" s="16" t="str">
        <v>Unit Selling Price</v>
      </c>
      <c r="H10" s="16" t="str">
        <v>Total Inventory Value</v>
      </c>
      <c r="I10" s="16" t="str">
        <v>Restock Status</v>
      </c>
      <c r="J10" s="16" t="s">
        <v>135</v>
      </c>
    </row>
    <row r="11" spans="2:10" x14ac:dyDescent="0.3">
      <c r="B11" t="str">
        <v>SKU0</v>
      </c>
      <c r="C11" t="str">
        <v>Haircare</v>
      </c>
      <c r="D11">
        <v>58</v>
      </c>
      <c r="E11">
        <v>96</v>
      </c>
      <c r="F11" s="2">
        <v>46.279899999999998</v>
      </c>
      <c r="G11" s="2">
        <v>69.808000000000007</v>
      </c>
      <c r="H11" s="2">
        <v>2684.2341999999999</v>
      </c>
      <c r="I11" t="str">
        <v>Reorder</v>
      </c>
      <c r="J11" s="17">
        <f ca="1">IF(I11="Reorder", $G$5+_xlfn.XLOOKUP(B11,Main_Data[SKU],Main_Data[Lead Time Days],"",0),"")</f>
        <v>46289</v>
      </c>
    </row>
    <row r="12" spans="2:10" x14ac:dyDescent="0.3">
      <c r="B12" t="str">
        <v>SKU1</v>
      </c>
      <c r="C12" t="str">
        <v>Skincare</v>
      </c>
      <c r="D12">
        <v>53</v>
      </c>
      <c r="E12">
        <v>37</v>
      </c>
      <c r="F12" s="2">
        <v>33.616799999999998</v>
      </c>
      <c r="G12" s="2">
        <v>14.843500000000001</v>
      </c>
      <c r="H12" s="2">
        <v>1781.6904</v>
      </c>
      <c r="I12" t="str">
        <v>No</v>
      </c>
      <c r="J12" s="17" t="str">
        <f>IF(I12="Reorder", $G$5+_xlfn.XLOOKUP(B12,Main_Data[SKU],Main_Data[Lead Time Days],"",0),"")</f>
        <v/>
      </c>
    </row>
    <row r="13" spans="2:10" x14ac:dyDescent="0.3">
      <c r="B13" t="str">
        <v>SKU2</v>
      </c>
      <c r="C13" t="str">
        <v>Haircare</v>
      </c>
      <c r="D13">
        <v>1</v>
      </c>
      <c r="E13">
        <v>88</v>
      </c>
      <c r="F13" s="2">
        <v>30.687999999999999</v>
      </c>
      <c r="G13" s="2">
        <v>11.319699999999999</v>
      </c>
      <c r="H13" s="2">
        <v>30.687999999999999</v>
      </c>
      <c r="I13" t="str">
        <v>Reorder</v>
      </c>
      <c r="J13" s="17">
        <f ca="1">IF(I13="Reorder", $G$5+_xlfn.XLOOKUP(B13,Main_Data[SKU],Main_Data[Lead Time Days],"",0),"")</f>
        <v>46292</v>
      </c>
    </row>
    <row r="14" spans="2:10" x14ac:dyDescent="0.3">
      <c r="B14" t="str">
        <v>SKU3</v>
      </c>
      <c r="C14" t="str">
        <v>Skincare</v>
      </c>
      <c r="D14">
        <v>23</v>
      </c>
      <c r="E14">
        <v>59</v>
      </c>
      <c r="F14" s="2">
        <v>35.624699999999997</v>
      </c>
      <c r="G14" s="2">
        <v>61.1633</v>
      </c>
      <c r="H14" s="2">
        <v>819.36809999999991</v>
      </c>
      <c r="I14" t="str">
        <v>Reorder</v>
      </c>
      <c r="J14" s="17">
        <f ca="1">IF(I14="Reorder", $G$5+_xlfn.XLOOKUP(B14,Main_Data[SKU],Main_Data[Lead Time Days],"",0),"")</f>
        <v>46295</v>
      </c>
    </row>
    <row r="15" spans="2:10" x14ac:dyDescent="0.3">
      <c r="B15" t="str">
        <v>SKU4</v>
      </c>
      <c r="C15" t="str">
        <v>Skincare</v>
      </c>
      <c r="D15">
        <v>5</v>
      </c>
      <c r="E15">
        <v>56</v>
      </c>
      <c r="F15" s="2">
        <v>92.065200000000004</v>
      </c>
      <c r="G15" s="2">
        <v>4.8055000000000003</v>
      </c>
      <c r="H15" s="2">
        <v>460.32600000000002</v>
      </c>
      <c r="I15" t="str">
        <v>Reorder</v>
      </c>
      <c r="J15" s="17">
        <f ca="1">IF(I15="Reorder", $G$5+_xlfn.XLOOKUP(B15,Main_Data[SKU],Main_Data[Lead Time Days],"",0),"")</f>
        <v>46285</v>
      </c>
    </row>
    <row r="16" spans="2:10" x14ac:dyDescent="0.3">
      <c r="B16" t="str">
        <v>SKU5</v>
      </c>
      <c r="C16" t="str">
        <v>Haircare</v>
      </c>
      <c r="D16">
        <v>90</v>
      </c>
      <c r="E16">
        <v>66</v>
      </c>
      <c r="F16" s="2">
        <v>56.766500000000001</v>
      </c>
      <c r="G16" s="2">
        <v>1.7</v>
      </c>
      <c r="H16" s="2">
        <v>5108.9849999999997</v>
      </c>
      <c r="I16" t="str">
        <v>No</v>
      </c>
      <c r="J16" s="17" t="str">
        <f>IF(I16="Reorder", $G$5+_xlfn.XLOOKUP(B16,Main_Data[SKU],Main_Data[Lead Time Days],"",0),"")</f>
        <v/>
      </c>
    </row>
    <row r="17" spans="2:10" x14ac:dyDescent="0.3">
      <c r="B17" t="str">
        <v>SKU6</v>
      </c>
      <c r="C17" t="str">
        <v>Skincare</v>
      </c>
      <c r="D17">
        <v>11</v>
      </c>
      <c r="E17">
        <v>58</v>
      </c>
      <c r="F17" s="2">
        <v>1.0851</v>
      </c>
      <c r="G17" s="2">
        <v>4.0782999999999996</v>
      </c>
      <c r="H17" s="2">
        <v>11.9361</v>
      </c>
      <c r="I17" t="str">
        <v>Reorder</v>
      </c>
      <c r="J17" s="17">
        <f ca="1">IF(I17="Reorder", $G$5+_xlfn.XLOOKUP(B17,Main_Data[SKU],Main_Data[Lead Time Days],"",0),"")</f>
        <v>46297</v>
      </c>
    </row>
    <row r="18" spans="2:10" x14ac:dyDescent="0.3">
      <c r="B18" t="str">
        <v>SKU7</v>
      </c>
      <c r="C18" t="str">
        <v>Cosmetics</v>
      </c>
      <c r="D18">
        <v>93</v>
      </c>
      <c r="E18">
        <v>11</v>
      </c>
      <c r="F18" s="2">
        <v>99.466099999999997</v>
      </c>
      <c r="G18" s="2">
        <v>42.958399999999997</v>
      </c>
      <c r="H18" s="2">
        <v>9250.3472999999994</v>
      </c>
      <c r="I18" t="str">
        <v>No</v>
      </c>
      <c r="J18" s="17" t="str">
        <f>IF(I18="Reorder", $G$5+_xlfn.XLOOKUP(B18,Main_Data[SKU],Main_Data[Lead Time Days],"",0),"")</f>
        <v/>
      </c>
    </row>
    <row r="19" spans="2:10" x14ac:dyDescent="0.3">
      <c r="B19" t="str">
        <v>SKU8</v>
      </c>
      <c r="C19" t="str">
        <v>Cosmetics</v>
      </c>
      <c r="D19">
        <v>5</v>
      </c>
      <c r="E19">
        <v>15</v>
      </c>
      <c r="F19" s="2">
        <v>11.423</v>
      </c>
      <c r="G19" s="2">
        <v>68.717600000000004</v>
      </c>
      <c r="H19" s="2">
        <v>57.115000000000002</v>
      </c>
      <c r="I19" t="str">
        <v>Reorder</v>
      </c>
      <c r="J19" s="17">
        <f ca="1">IF(I19="Reorder", $G$5+_xlfn.XLOOKUP(B19,Main_Data[SKU],Main_Data[Lead Time Days],"",0),"")</f>
        <v>46292</v>
      </c>
    </row>
    <row r="20" spans="2:10" x14ac:dyDescent="0.3">
      <c r="B20" t="str">
        <v>SKU9</v>
      </c>
      <c r="C20" t="str">
        <v>Skincare</v>
      </c>
      <c r="D20">
        <v>14</v>
      </c>
      <c r="E20">
        <v>83</v>
      </c>
      <c r="F20" s="2">
        <v>47.957599999999999</v>
      </c>
      <c r="G20" s="2">
        <v>64.015699999999995</v>
      </c>
      <c r="H20" s="2">
        <v>671.40639999999996</v>
      </c>
      <c r="I20" t="str">
        <v>Reorder</v>
      </c>
      <c r="J20" s="17">
        <f ca="1">IF(I20="Reorder", $G$5+_xlfn.XLOOKUP(B20,Main_Data[SKU],Main_Data[Lead Time Days],"",0),"")</f>
        <v>46309</v>
      </c>
    </row>
    <row r="21" spans="2:10" x14ac:dyDescent="0.3">
      <c r="B21" t="str">
        <v>SKU10</v>
      </c>
      <c r="C21" t="str">
        <v>Skincare</v>
      </c>
      <c r="D21">
        <v>51</v>
      </c>
      <c r="E21">
        <v>80</v>
      </c>
      <c r="F21" s="2">
        <v>96.5274</v>
      </c>
      <c r="G21" s="2">
        <v>15.707800000000001</v>
      </c>
      <c r="H21" s="2">
        <v>4922.8973999999998</v>
      </c>
      <c r="I21" t="str">
        <v>Reorder</v>
      </c>
      <c r="J21" s="17">
        <f ca="1">IF(I21="Reorder", $G$5+_xlfn.XLOOKUP(B21,Main_Data[SKU],Main_Data[Lead Time Days],"",0),"")</f>
        <v>46295</v>
      </c>
    </row>
    <row r="22" spans="2:10" x14ac:dyDescent="0.3">
      <c r="B22" t="str">
        <v>SKU11</v>
      </c>
      <c r="C22" t="str">
        <v>Skincare</v>
      </c>
      <c r="D22">
        <v>46</v>
      </c>
      <c r="E22">
        <v>60</v>
      </c>
      <c r="F22" s="2">
        <v>27.592400000000001</v>
      </c>
      <c r="G22" s="2">
        <v>90.635499999999993</v>
      </c>
      <c r="H22" s="2">
        <v>1269.2504000000001</v>
      </c>
      <c r="I22" t="str">
        <v>Reorder</v>
      </c>
      <c r="J22" s="17">
        <f ca="1">IF(I22="Reorder", $G$5+_xlfn.XLOOKUP(B22,Main_Data[SKU],Main_Data[Lead Time Days],"",0),"")</f>
        <v>46305</v>
      </c>
    </row>
    <row r="23" spans="2:10" x14ac:dyDescent="0.3">
      <c r="B23" t="str">
        <v>SKU12</v>
      </c>
      <c r="C23" t="str">
        <v>Haircare</v>
      </c>
      <c r="D23">
        <v>100</v>
      </c>
      <c r="E23">
        <v>85</v>
      </c>
      <c r="F23" s="2">
        <v>32.321300000000001</v>
      </c>
      <c r="G23" s="2">
        <v>71.213399999999993</v>
      </c>
      <c r="H23" s="2">
        <v>3232.13</v>
      </c>
      <c r="I23" t="str">
        <v>No</v>
      </c>
      <c r="J23" s="17" t="str">
        <f>IF(I23="Reorder", $G$5+_xlfn.XLOOKUP(B23,Main_Data[SKU],Main_Data[Lead Time Days],"",0),"")</f>
        <v/>
      </c>
    </row>
    <row r="24" spans="2:10" x14ac:dyDescent="0.3">
      <c r="B24" t="str">
        <v>SKU13</v>
      </c>
      <c r="C24" t="str">
        <v>Skincare</v>
      </c>
      <c r="D24">
        <v>80</v>
      </c>
      <c r="E24">
        <v>48</v>
      </c>
      <c r="F24" s="2">
        <v>97.829099999999997</v>
      </c>
      <c r="G24" s="2">
        <v>16.160399999999999</v>
      </c>
      <c r="H24" s="2">
        <v>7826.3279999999995</v>
      </c>
      <c r="I24" t="str">
        <v>No</v>
      </c>
      <c r="J24" s="17" t="str">
        <f>IF(I24="Reorder", $G$5+_xlfn.XLOOKUP(B24,Main_Data[SKU],Main_Data[Lead Time Days],"",0),"")</f>
        <v/>
      </c>
    </row>
    <row r="25" spans="2:10" x14ac:dyDescent="0.3">
      <c r="B25" t="str">
        <v>SKU14</v>
      </c>
      <c r="C25" t="str">
        <v>Skincare</v>
      </c>
      <c r="D25">
        <v>54</v>
      </c>
      <c r="E25">
        <v>78</v>
      </c>
      <c r="F25" s="2">
        <v>5.7914000000000003</v>
      </c>
      <c r="G25" s="2">
        <v>99.171300000000002</v>
      </c>
      <c r="H25" s="2">
        <v>312.73560000000003</v>
      </c>
      <c r="I25" t="str">
        <v>Reorder</v>
      </c>
      <c r="J25" s="17">
        <f ca="1">IF(I25="Reorder", $G$5+_xlfn.XLOOKUP(B25,Main_Data[SKU],Main_Data[Lead Time Days],"",0),"")</f>
        <v>46311</v>
      </c>
    </row>
    <row r="26" spans="2:10" x14ac:dyDescent="0.3">
      <c r="B26" t="str">
        <v>SKU15</v>
      </c>
      <c r="C26" t="str">
        <v>Skincare</v>
      </c>
      <c r="D26">
        <v>9</v>
      </c>
      <c r="E26">
        <v>69</v>
      </c>
      <c r="F26" s="2">
        <v>97.121300000000005</v>
      </c>
      <c r="G26" s="2">
        <v>36.989199999999997</v>
      </c>
      <c r="H26" s="2">
        <v>874.09170000000006</v>
      </c>
      <c r="I26" t="str">
        <v>Reorder</v>
      </c>
      <c r="J26" s="17">
        <f ca="1">IF(I26="Reorder", $G$5+_xlfn.XLOOKUP(B26,Main_Data[SKU],Main_Data[Lead Time Days],"",0),"")</f>
        <v>46290</v>
      </c>
    </row>
    <row r="27" spans="2:10" x14ac:dyDescent="0.3">
      <c r="B27" t="str">
        <v>SKU16</v>
      </c>
      <c r="C27" t="str">
        <v>Skincare</v>
      </c>
      <c r="D27">
        <v>2</v>
      </c>
      <c r="E27">
        <v>78</v>
      </c>
      <c r="F27" s="2">
        <v>77.106300000000005</v>
      </c>
      <c r="G27" s="2">
        <v>7.5472000000000001</v>
      </c>
      <c r="H27" s="2">
        <v>154.21260000000001</v>
      </c>
      <c r="I27" t="str">
        <v>Reorder</v>
      </c>
      <c r="J27" s="17">
        <f ca="1">IF(I27="Reorder", $G$5+_xlfn.XLOOKUP(B27,Main_Data[SKU],Main_Data[Lead Time Days],"",0),"")</f>
        <v>46287</v>
      </c>
    </row>
    <row r="28" spans="2:10" x14ac:dyDescent="0.3">
      <c r="B28" t="str">
        <v>SKU17</v>
      </c>
      <c r="C28" t="str">
        <v>Cosmetics</v>
      </c>
      <c r="D28">
        <v>45</v>
      </c>
      <c r="E28">
        <v>85</v>
      </c>
      <c r="F28" s="2">
        <v>47.679699999999997</v>
      </c>
      <c r="G28" s="2">
        <v>81.462500000000006</v>
      </c>
      <c r="H28" s="2">
        <v>2145.5864999999999</v>
      </c>
      <c r="I28" t="str">
        <v>Reorder</v>
      </c>
      <c r="J28" s="17">
        <f ca="1">IF(I28="Reorder", $G$5+_xlfn.XLOOKUP(B28,Main_Data[SKU],Main_Data[Lead Time Days],"",0),"")</f>
        <v>46299</v>
      </c>
    </row>
    <row r="29" spans="2:10" x14ac:dyDescent="0.3">
      <c r="B29" t="str">
        <v>SKU18</v>
      </c>
      <c r="C29" t="str">
        <v>Haircare</v>
      </c>
      <c r="D29">
        <v>10</v>
      </c>
      <c r="E29">
        <v>46</v>
      </c>
      <c r="F29" s="2">
        <v>27.108000000000001</v>
      </c>
      <c r="G29" s="2">
        <v>36.443600000000004</v>
      </c>
      <c r="H29" s="2">
        <v>271.08</v>
      </c>
      <c r="I29" t="str">
        <v>Reorder</v>
      </c>
      <c r="J29" s="17">
        <f ca="1">IF(I29="Reorder", $G$5+_xlfn.XLOOKUP(B29,Main_Data[SKU],Main_Data[Lead Time Days],"",0),"")</f>
        <v>46292</v>
      </c>
    </row>
    <row r="30" spans="2:10" x14ac:dyDescent="0.3">
      <c r="B30" t="str">
        <v>SKU19</v>
      </c>
      <c r="C30" t="str">
        <v>Skincare</v>
      </c>
      <c r="D30">
        <v>48</v>
      </c>
      <c r="E30">
        <v>94</v>
      </c>
      <c r="F30" s="2">
        <v>82.3733</v>
      </c>
      <c r="G30" s="2">
        <v>51.123899999999999</v>
      </c>
      <c r="H30" s="2">
        <v>3953.9184</v>
      </c>
      <c r="I30" t="str">
        <v>Reorder</v>
      </c>
      <c r="J30" s="17">
        <f ca="1">IF(I30="Reorder", $G$5+_xlfn.XLOOKUP(B30,Main_Data[SKU],Main_Data[Lead Time Days],"",0),"")</f>
        <v>46293</v>
      </c>
    </row>
    <row r="31" spans="2:10" x14ac:dyDescent="0.3">
      <c r="B31" t="str">
        <v>SKU20</v>
      </c>
      <c r="C31" t="str">
        <v>Skincare</v>
      </c>
      <c r="D31">
        <v>27</v>
      </c>
      <c r="E31">
        <v>68</v>
      </c>
      <c r="F31" s="2">
        <v>65.686300000000003</v>
      </c>
      <c r="G31" s="2">
        <v>96.341099999999997</v>
      </c>
      <c r="H31" s="2">
        <v>1773.5301000000002</v>
      </c>
      <c r="I31" t="str">
        <v>Reorder</v>
      </c>
      <c r="J31" s="17">
        <f ca="1">IF(I31="Reorder", $G$5+_xlfn.XLOOKUP(B31,Main_Data[SKU],Main_Data[Lead Time Days],"",0),"")</f>
        <v>46294</v>
      </c>
    </row>
    <row r="32" spans="2:10" x14ac:dyDescent="0.3">
      <c r="B32" t="str">
        <v>SKU21</v>
      </c>
      <c r="C32" t="str">
        <v>Cosmetics</v>
      </c>
      <c r="D32">
        <v>69</v>
      </c>
      <c r="E32">
        <v>7</v>
      </c>
      <c r="F32" s="2">
        <v>61.735700000000001</v>
      </c>
      <c r="G32" s="2">
        <v>84.893900000000002</v>
      </c>
      <c r="H32" s="2">
        <v>4259.7633000000005</v>
      </c>
      <c r="I32" t="str">
        <v>No</v>
      </c>
      <c r="J32" s="17" t="str">
        <f>IF(I32="Reorder", $G$5+_xlfn.XLOOKUP(B32,Main_Data[SKU],Main_Data[Lead Time Days],"",0),"")</f>
        <v/>
      </c>
    </row>
    <row r="33" spans="2:10" x14ac:dyDescent="0.3">
      <c r="B33" t="str">
        <v>SKU22</v>
      </c>
      <c r="C33" t="str">
        <v>Haircare</v>
      </c>
      <c r="D33">
        <v>71</v>
      </c>
      <c r="E33">
        <v>63</v>
      </c>
      <c r="F33" s="2">
        <v>50.120800000000003</v>
      </c>
      <c r="G33" s="2">
        <v>27.6798</v>
      </c>
      <c r="H33" s="2">
        <v>3558.5768000000003</v>
      </c>
      <c r="I33" t="str">
        <v>No</v>
      </c>
      <c r="J33" s="17" t="str">
        <f>IF(I33="Reorder", $G$5+_xlfn.XLOOKUP(B33,Main_Data[SKU],Main_Data[Lead Time Days],"",0),"")</f>
        <v/>
      </c>
    </row>
    <row r="34" spans="2:10" x14ac:dyDescent="0.3">
      <c r="B34" t="str">
        <v>SKU23</v>
      </c>
      <c r="C34" t="str">
        <v>Cosmetics</v>
      </c>
      <c r="D34">
        <v>84</v>
      </c>
      <c r="E34">
        <v>29</v>
      </c>
      <c r="F34" s="2">
        <v>98.61</v>
      </c>
      <c r="G34" s="2">
        <v>4.3243</v>
      </c>
      <c r="H34" s="2">
        <v>8283.24</v>
      </c>
      <c r="I34" t="str">
        <v>No</v>
      </c>
      <c r="J34" s="17" t="str">
        <f>IF(I34="Reorder", $G$5+_xlfn.XLOOKUP(B34,Main_Data[SKU],Main_Data[Lead Time Days],"",0),"")</f>
        <v/>
      </c>
    </row>
    <row r="35" spans="2:10" x14ac:dyDescent="0.3">
      <c r="B35" t="str">
        <v>SKU24</v>
      </c>
      <c r="C35" t="str">
        <v>Haircare</v>
      </c>
      <c r="D35">
        <v>4</v>
      </c>
      <c r="E35">
        <v>2</v>
      </c>
      <c r="F35" s="2">
        <v>40.382399999999997</v>
      </c>
      <c r="G35" s="2">
        <v>4.1562999999999999</v>
      </c>
      <c r="H35" s="2">
        <v>161.52959999999999</v>
      </c>
      <c r="I35" t="str">
        <v>No</v>
      </c>
      <c r="J35" s="17" t="str">
        <f>IF(I35="Reorder", $G$5+_xlfn.XLOOKUP(B35,Main_Data[SKU],Main_Data[Lead Time Days],"",0),"")</f>
        <v/>
      </c>
    </row>
    <row r="36" spans="2:10" x14ac:dyDescent="0.3">
      <c r="B36" t="str">
        <v>SKU25</v>
      </c>
      <c r="C36" t="str">
        <v>Haircare</v>
      </c>
      <c r="D36">
        <v>82</v>
      </c>
      <c r="E36">
        <v>52</v>
      </c>
      <c r="F36" s="2">
        <v>78.2804</v>
      </c>
      <c r="G36" s="2">
        <v>39.629300000000001</v>
      </c>
      <c r="H36" s="2">
        <v>6418.9928</v>
      </c>
      <c r="I36" t="str">
        <v>No</v>
      </c>
      <c r="J36" s="17" t="str">
        <f>IF(I36="Reorder", $G$5+_xlfn.XLOOKUP(B36,Main_Data[SKU],Main_Data[Lead Time Days],"",0),"")</f>
        <v/>
      </c>
    </row>
    <row r="37" spans="2:10" x14ac:dyDescent="0.3">
      <c r="B37" t="str">
        <v>SKU26</v>
      </c>
      <c r="C37" t="str">
        <v>Haircare</v>
      </c>
      <c r="D37">
        <v>59</v>
      </c>
      <c r="E37">
        <v>48</v>
      </c>
      <c r="F37" s="2">
        <v>15.972200000000001</v>
      </c>
      <c r="G37" s="2">
        <v>97.446899999999999</v>
      </c>
      <c r="H37" s="2">
        <v>942.35980000000006</v>
      </c>
      <c r="I37" t="str">
        <v>No</v>
      </c>
      <c r="J37" s="17" t="str">
        <f>IF(I37="Reorder", $G$5+_xlfn.XLOOKUP(B37,Main_Data[SKU],Main_Data[Lead Time Days],"",0),"")</f>
        <v/>
      </c>
    </row>
    <row r="38" spans="2:10" x14ac:dyDescent="0.3">
      <c r="B38" t="str">
        <v>SKU27</v>
      </c>
      <c r="C38" t="str">
        <v>Cosmetics</v>
      </c>
      <c r="D38">
        <v>47</v>
      </c>
      <c r="E38">
        <v>62</v>
      </c>
      <c r="F38" s="2">
        <v>10.5282</v>
      </c>
      <c r="G38" s="2">
        <v>92.557400000000001</v>
      </c>
      <c r="H38" s="2">
        <v>494.8254</v>
      </c>
      <c r="I38" t="str">
        <v>Reorder</v>
      </c>
      <c r="J38" s="17">
        <f ca="1">IF(I38="Reorder", $G$5+_xlfn.XLOOKUP(B38,Main_Data[SKU],Main_Data[Lead Time Days],"",0),"")</f>
        <v>46291</v>
      </c>
    </row>
    <row r="39" spans="2:10" x14ac:dyDescent="0.3">
      <c r="B39" t="str">
        <v>SKU28</v>
      </c>
      <c r="C39" t="str">
        <v>Cosmetics</v>
      </c>
      <c r="D39">
        <v>48</v>
      </c>
      <c r="E39">
        <v>24</v>
      </c>
      <c r="F39" s="2">
        <v>59.429400000000001</v>
      </c>
      <c r="G39" s="2">
        <v>2.3973</v>
      </c>
      <c r="H39" s="2">
        <v>2852.6112000000003</v>
      </c>
      <c r="I39" t="str">
        <v>No</v>
      </c>
      <c r="J39" s="17" t="str">
        <f>IF(I39="Reorder", $G$5+_xlfn.XLOOKUP(B39,Main_Data[SKU],Main_Data[Lead Time Days],"",0),"")</f>
        <v/>
      </c>
    </row>
    <row r="40" spans="2:10" x14ac:dyDescent="0.3">
      <c r="B40" t="str">
        <v>SKU29</v>
      </c>
      <c r="C40" t="str">
        <v>Cosmetics</v>
      </c>
      <c r="D40">
        <v>45</v>
      </c>
      <c r="E40">
        <v>67</v>
      </c>
      <c r="F40" s="2">
        <v>39.292900000000003</v>
      </c>
      <c r="G40" s="2">
        <v>63.447600000000001</v>
      </c>
      <c r="H40" s="2">
        <v>1768.1805000000002</v>
      </c>
      <c r="I40" t="str">
        <v>Reorder</v>
      </c>
      <c r="J40" s="17">
        <f ca="1">IF(I40="Reorder", $G$5+_xlfn.XLOOKUP(B40,Main_Data[SKU],Main_Data[Lead Time Days],"",0),"")</f>
        <v>46287</v>
      </c>
    </row>
    <row r="41" spans="2:10" x14ac:dyDescent="0.3">
      <c r="B41" t="str">
        <v>SKU30</v>
      </c>
      <c r="C41" t="str">
        <v>Haircare</v>
      </c>
      <c r="D41">
        <v>60</v>
      </c>
      <c r="E41">
        <v>35</v>
      </c>
      <c r="F41" s="2">
        <v>51.634900000000002</v>
      </c>
      <c r="G41" s="2">
        <v>8.0228999999999999</v>
      </c>
      <c r="H41" s="2">
        <v>3098.0940000000001</v>
      </c>
      <c r="I41" t="str">
        <v>No</v>
      </c>
      <c r="J41" s="17" t="str">
        <f>IF(I41="Reorder", $G$5+_xlfn.XLOOKUP(B41,Main_Data[SKU],Main_Data[Lead Time Days],"",0),"")</f>
        <v/>
      </c>
    </row>
    <row r="42" spans="2:10" x14ac:dyDescent="0.3">
      <c r="B42" t="str">
        <v>SKU31</v>
      </c>
      <c r="C42" t="str">
        <v>Skincare</v>
      </c>
      <c r="D42">
        <v>6</v>
      </c>
      <c r="E42">
        <v>44</v>
      </c>
      <c r="F42" s="2">
        <v>60.251100000000001</v>
      </c>
      <c r="G42" s="2">
        <v>50.8474</v>
      </c>
      <c r="H42" s="2">
        <v>361.50659999999999</v>
      </c>
      <c r="I42" t="str">
        <v>Reorder</v>
      </c>
      <c r="J42" s="17">
        <f ca="1">IF(I42="Reorder", $G$5+_xlfn.XLOOKUP(B42,Main_Data[SKU],Main_Data[Lead Time Days],"",0),"")</f>
        <v>46299</v>
      </c>
    </row>
    <row r="43" spans="2:10" x14ac:dyDescent="0.3">
      <c r="B43" t="str">
        <v>SKU32</v>
      </c>
      <c r="C43" t="str">
        <v>Skincare</v>
      </c>
      <c r="D43">
        <v>89</v>
      </c>
      <c r="E43">
        <v>64</v>
      </c>
      <c r="F43" s="2">
        <v>29.692499999999999</v>
      </c>
      <c r="G43" s="2">
        <v>79.209900000000005</v>
      </c>
      <c r="H43" s="2">
        <v>2642.6324999999997</v>
      </c>
      <c r="I43" t="str">
        <v>No</v>
      </c>
      <c r="J43" s="17" t="str">
        <f>IF(I43="Reorder", $G$5+_xlfn.XLOOKUP(B43,Main_Data[SKU],Main_Data[Lead Time Days],"",0),"")</f>
        <v/>
      </c>
    </row>
    <row r="44" spans="2:10" x14ac:dyDescent="0.3">
      <c r="B44" t="str">
        <v>SKU33</v>
      </c>
      <c r="C44" t="str">
        <v>Cosmetics</v>
      </c>
      <c r="D44">
        <v>4</v>
      </c>
      <c r="E44">
        <v>95</v>
      </c>
      <c r="F44" s="2">
        <v>23.853400000000001</v>
      </c>
      <c r="G44" s="2">
        <v>64.795400000000001</v>
      </c>
      <c r="H44" s="2">
        <v>95.413600000000002</v>
      </c>
      <c r="I44" t="str">
        <v>Reorder</v>
      </c>
      <c r="J44" s="17">
        <f ca="1">IF(I44="Reorder", $G$5+_xlfn.XLOOKUP(B44,Main_Data[SKU],Main_Data[Lead Time Days],"",0),"")</f>
        <v>46299</v>
      </c>
    </row>
    <row r="45" spans="2:10" x14ac:dyDescent="0.3">
      <c r="B45" t="str">
        <v>SKU34</v>
      </c>
      <c r="C45" t="str">
        <v>Skincare</v>
      </c>
      <c r="D45">
        <v>1</v>
      </c>
      <c r="E45">
        <v>21</v>
      </c>
      <c r="F45" s="2">
        <v>10.754300000000001</v>
      </c>
      <c r="G45" s="2">
        <v>37.467599999999997</v>
      </c>
      <c r="H45" s="2">
        <v>10.754300000000001</v>
      </c>
      <c r="I45" t="str">
        <v>Reorder</v>
      </c>
      <c r="J45" s="17">
        <f ca="1">IF(I45="Reorder", $G$5+_xlfn.XLOOKUP(B45,Main_Data[SKU],Main_Data[Lead Time Days],"",0),"")</f>
        <v>46308</v>
      </c>
    </row>
    <row r="46" spans="2:10" x14ac:dyDescent="0.3">
      <c r="B46" t="str">
        <v>SKU35</v>
      </c>
      <c r="C46" t="str">
        <v>Cosmetics</v>
      </c>
      <c r="D46">
        <v>42</v>
      </c>
      <c r="E46">
        <v>85</v>
      </c>
      <c r="F46" s="2">
        <v>58.004800000000003</v>
      </c>
      <c r="G46" s="2">
        <v>84.957800000000006</v>
      </c>
      <c r="H46" s="2">
        <v>2436.2016000000003</v>
      </c>
      <c r="I46" t="str">
        <v>Reorder</v>
      </c>
      <c r="J46" s="17">
        <f ca="1">IF(I46="Reorder", $G$5+_xlfn.XLOOKUP(B46,Main_Data[SKU],Main_Data[Lead Time Days],"",0),"")</f>
        <v>46309</v>
      </c>
    </row>
    <row r="47" spans="2:10" x14ac:dyDescent="0.3">
      <c r="B47" t="str">
        <v>SKU36</v>
      </c>
      <c r="C47" t="str">
        <v>Skincare</v>
      </c>
      <c r="D47">
        <v>18</v>
      </c>
      <c r="E47">
        <v>28</v>
      </c>
      <c r="F47" s="2">
        <v>45.531399999999998</v>
      </c>
      <c r="G47" s="2">
        <v>9.8130000000000006</v>
      </c>
      <c r="H47" s="2">
        <v>819.5652</v>
      </c>
      <c r="I47" t="str">
        <v>Reorder</v>
      </c>
      <c r="J47" s="17">
        <f ca="1">IF(I47="Reorder", $G$5+_xlfn.XLOOKUP(B47,Main_Data[SKU],Main_Data[Lead Time Days],"",0),"")</f>
        <v>46305</v>
      </c>
    </row>
    <row r="48" spans="2:10" x14ac:dyDescent="0.3">
      <c r="B48" t="str">
        <v>SKU37</v>
      </c>
      <c r="C48" t="str">
        <v>Skincare</v>
      </c>
      <c r="D48">
        <v>25</v>
      </c>
      <c r="E48">
        <v>21</v>
      </c>
      <c r="F48" s="2">
        <v>34.343299999999999</v>
      </c>
      <c r="G48" s="2">
        <v>23.399799999999999</v>
      </c>
      <c r="H48" s="2">
        <v>858.58249999999998</v>
      </c>
      <c r="I48" t="str">
        <v>No</v>
      </c>
      <c r="J48" s="17" t="str">
        <f>IF(I48="Reorder", $G$5+_xlfn.XLOOKUP(B48,Main_Data[SKU],Main_Data[Lead Time Days],"",0),"")</f>
        <v/>
      </c>
    </row>
    <row r="49" spans="2:10" x14ac:dyDescent="0.3">
      <c r="B49" t="str">
        <v>SKU38</v>
      </c>
      <c r="C49" t="str">
        <v>Cosmetics</v>
      </c>
      <c r="D49">
        <v>69</v>
      </c>
      <c r="E49">
        <v>88</v>
      </c>
      <c r="F49" s="2">
        <v>5.9306999999999999</v>
      </c>
      <c r="G49" s="2">
        <v>52.075899999999997</v>
      </c>
      <c r="H49" s="2">
        <v>409.2183</v>
      </c>
      <c r="I49" t="str">
        <v>Reorder</v>
      </c>
      <c r="J49" s="17">
        <f ca="1">IF(I49="Reorder", $G$5+_xlfn.XLOOKUP(B49,Main_Data[SKU],Main_Data[Lead Time Days],"",0),"")</f>
        <v>46283</v>
      </c>
    </row>
    <row r="50" spans="2:10" x14ac:dyDescent="0.3">
      <c r="B50" t="str">
        <v>SKU39</v>
      </c>
      <c r="C50" t="str">
        <v>Skincare</v>
      </c>
      <c r="D50">
        <v>78</v>
      </c>
      <c r="E50">
        <v>34</v>
      </c>
      <c r="F50" s="2">
        <v>9.0058000000000007</v>
      </c>
      <c r="G50" s="2">
        <v>19.127500000000001</v>
      </c>
      <c r="H50" s="2">
        <v>702.45240000000001</v>
      </c>
      <c r="I50" t="str">
        <v>No</v>
      </c>
      <c r="J50" s="17" t="str">
        <f>IF(I50="Reorder", $G$5+_xlfn.XLOOKUP(B50,Main_Data[SKU],Main_Data[Lead Time Days],"",0),"")</f>
        <v/>
      </c>
    </row>
    <row r="51" spans="2:10" x14ac:dyDescent="0.3">
      <c r="B51" t="str">
        <v>SKU40</v>
      </c>
      <c r="C51" t="str">
        <v>Skincare</v>
      </c>
      <c r="D51">
        <v>90</v>
      </c>
      <c r="E51">
        <v>39</v>
      </c>
      <c r="F51" s="2">
        <v>88.179400000000001</v>
      </c>
      <c r="G51" s="2">
        <v>80.541399999999996</v>
      </c>
      <c r="H51" s="2">
        <v>7936.1459999999997</v>
      </c>
      <c r="I51" t="str">
        <v>No</v>
      </c>
      <c r="J51" s="17" t="str">
        <f>IF(I51="Reorder", $G$5+_xlfn.XLOOKUP(B51,Main_Data[SKU],Main_Data[Lead Time Days],"",0),"")</f>
        <v/>
      </c>
    </row>
    <row r="52" spans="2:10" x14ac:dyDescent="0.3">
      <c r="B52" t="str">
        <v>SKU41</v>
      </c>
      <c r="C52" t="str">
        <v>Skincare</v>
      </c>
      <c r="D52">
        <v>64</v>
      </c>
      <c r="E52">
        <v>38</v>
      </c>
      <c r="F52" s="2">
        <v>95.332099999999997</v>
      </c>
      <c r="G52" s="2">
        <v>99.113299999999995</v>
      </c>
      <c r="H52" s="2">
        <v>6101.2543999999998</v>
      </c>
      <c r="I52" t="str">
        <v>No</v>
      </c>
      <c r="J52" s="17" t="str">
        <f>IF(I52="Reorder", $G$5+_xlfn.XLOOKUP(B52,Main_Data[SKU],Main_Data[Lead Time Days],"",0),"")</f>
        <v/>
      </c>
    </row>
    <row r="53" spans="2:10" x14ac:dyDescent="0.3">
      <c r="B53" t="str">
        <v>SKU42</v>
      </c>
      <c r="C53" t="str">
        <v>Skincare</v>
      </c>
      <c r="D53">
        <v>22</v>
      </c>
      <c r="E53">
        <v>57</v>
      </c>
      <c r="F53" s="2">
        <v>96.422799999999995</v>
      </c>
      <c r="G53" s="2">
        <v>46.529200000000003</v>
      </c>
      <c r="H53" s="2">
        <v>2121.3015999999998</v>
      </c>
      <c r="I53" t="str">
        <v>Reorder</v>
      </c>
      <c r="J53" s="17">
        <f ca="1">IF(I53="Reorder", $G$5+_xlfn.XLOOKUP(B53,Main_Data[SKU],Main_Data[Lead Time Days],"",0),"")</f>
        <v>46309</v>
      </c>
    </row>
    <row r="54" spans="2:10" x14ac:dyDescent="0.3">
      <c r="B54" t="str">
        <v>SKU43</v>
      </c>
      <c r="C54" t="str">
        <v>Haircare</v>
      </c>
      <c r="D54">
        <v>36</v>
      </c>
      <c r="E54">
        <v>85</v>
      </c>
      <c r="F54" s="2">
        <v>26.2774</v>
      </c>
      <c r="G54" s="2">
        <v>11.7433</v>
      </c>
      <c r="H54" s="2">
        <v>945.9864</v>
      </c>
      <c r="I54" t="str">
        <v>Reorder</v>
      </c>
      <c r="J54" s="17">
        <f ca="1">IF(I54="Reorder", $G$5+_xlfn.XLOOKUP(B54,Main_Data[SKU],Main_Data[Lead Time Days],"",0),"")</f>
        <v>46311</v>
      </c>
    </row>
    <row r="55" spans="2:10" x14ac:dyDescent="0.3">
      <c r="B55" t="str">
        <v>SKU44</v>
      </c>
      <c r="C55" t="str">
        <v>Cosmetics</v>
      </c>
      <c r="D55">
        <v>13</v>
      </c>
      <c r="E55">
        <v>72</v>
      </c>
      <c r="F55" s="2">
        <v>22.554099999999998</v>
      </c>
      <c r="G55" s="2">
        <v>51.355800000000002</v>
      </c>
      <c r="H55" s="2">
        <v>293.20329999999996</v>
      </c>
      <c r="I55" t="str">
        <v>Reorder</v>
      </c>
      <c r="J55" s="17">
        <f ca="1">IF(I55="Reorder", $G$5+_xlfn.XLOOKUP(B55,Main_Data[SKU],Main_Data[Lead Time Days],"",0),"")</f>
        <v>46301</v>
      </c>
    </row>
    <row r="56" spans="2:10" x14ac:dyDescent="0.3">
      <c r="B56" t="str">
        <v>SKU45</v>
      </c>
      <c r="C56" t="str">
        <v>Haircare</v>
      </c>
      <c r="D56">
        <v>93</v>
      </c>
      <c r="E56">
        <v>52</v>
      </c>
      <c r="F56" s="2">
        <v>66.3125</v>
      </c>
      <c r="G56" s="2">
        <v>33.784100000000002</v>
      </c>
      <c r="H56" s="2">
        <v>6167.0625</v>
      </c>
      <c r="I56" t="str">
        <v>No</v>
      </c>
      <c r="J56" s="17" t="str">
        <f>IF(I56="Reorder", $G$5+_xlfn.XLOOKUP(B56,Main_Data[SKU],Main_Data[Lead Time Days],"",0),"")</f>
        <v/>
      </c>
    </row>
    <row r="57" spans="2:10" x14ac:dyDescent="0.3">
      <c r="B57" t="str">
        <v>SKU46</v>
      </c>
      <c r="C57" t="str">
        <v>Haircare</v>
      </c>
      <c r="D57">
        <v>92</v>
      </c>
      <c r="E57">
        <v>6</v>
      </c>
      <c r="F57" s="2">
        <v>77.322400000000002</v>
      </c>
      <c r="G57" s="2">
        <v>27.0822</v>
      </c>
      <c r="H57" s="2">
        <v>7113.6608000000006</v>
      </c>
      <c r="I57" t="str">
        <v>No</v>
      </c>
      <c r="J57" s="17" t="str">
        <f>IF(I57="Reorder", $G$5+_xlfn.XLOOKUP(B57,Main_Data[SKU],Main_Data[Lead Time Days],"",0),"")</f>
        <v/>
      </c>
    </row>
    <row r="58" spans="2:10" x14ac:dyDescent="0.3">
      <c r="B58" t="str">
        <v>SKU47</v>
      </c>
      <c r="C58" t="str">
        <v>Skincare</v>
      </c>
      <c r="D58">
        <v>4</v>
      </c>
      <c r="E58">
        <v>51</v>
      </c>
      <c r="F58" s="2">
        <v>19.713000000000001</v>
      </c>
      <c r="G58" s="2">
        <v>95.712100000000007</v>
      </c>
      <c r="H58" s="2">
        <v>78.852000000000004</v>
      </c>
      <c r="I58" t="str">
        <v>Reorder</v>
      </c>
      <c r="J58" s="17">
        <f ca="1">IF(I58="Reorder", $G$5+_xlfn.XLOOKUP(B58,Main_Data[SKU],Main_Data[Lead Time Days],"",0),"")</f>
        <v>46297</v>
      </c>
    </row>
    <row r="59" spans="2:10" x14ac:dyDescent="0.3">
      <c r="B59" t="str">
        <v>SKU48</v>
      </c>
      <c r="C59" t="str">
        <v>Haircare</v>
      </c>
      <c r="D59">
        <v>30</v>
      </c>
      <c r="E59">
        <v>9</v>
      </c>
      <c r="F59" s="2">
        <v>23.1264</v>
      </c>
      <c r="G59" s="2">
        <v>76.035499999999999</v>
      </c>
      <c r="H59" s="2">
        <v>693.79200000000003</v>
      </c>
      <c r="I59" t="str">
        <v>No</v>
      </c>
      <c r="J59" s="17" t="str">
        <f>IF(I59="Reorder", $G$5+_xlfn.XLOOKUP(B59,Main_Data[SKU],Main_Data[Lead Time Days],"",0),"")</f>
        <v/>
      </c>
    </row>
    <row r="60" spans="2:10" x14ac:dyDescent="0.3">
      <c r="B60" t="str">
        <v>SKU49</v>
      </c>
      <c r="C60" t="str">
        <v>Cosmetics</v>
      </c>
      <c r="D60">
        <v>97</v>
      </c>
      <c r="E60">
        <v>9</v>
      </c>
      <c r="F60" s="2">
        <v>14.1478</v>
      </c>
      <c r="G60" s="2">
        <v>78.897900000000007</v>
      </c>
      <c r="H60" s="2">
        <v>1372.3366000000001</v>
      </c>
      <c r="I60" t="str">
        <v>No</v>
      </c>
      <c r="J60" s="17" t="str">
        <f>IF(I60="Reorder", $G$5+_xlfn.XLOOKUP(B60,Main_Data[SKU],Main_Data[Lead Time Days],"",0),"")</f>
        <v/>
      </c>
    </row>
    <row r="61" spans="2:10" x14ac:dyDescent="0.3">
      <c r="B61" t="str">
        <v>SKU50</v>
      </c>
      <c r="C61" t="str">
        <v>Cosmetics</v>
      </c>
      <c r="D61">
        <v>31</v>
      </c>
      <c r="E61">
        <v>82</v>
      </c>
      <c r="F61" s="2">
        <v>45.178800000000003</v>
      </c>
      <c r="G61" s="2">
        <v>14.2035</v>
      </c>
      <c r="H61" s="2">
        <v>1400.5428000000002</v>
      </c>
      <c r="I61" t="str">
        <v>Reorder</v>
      </c>
      <c r="J61" s="17">
        <f ca="1">IF(I61="Reorder", $G$5+_xlfn.XLOOKUP(B61,Main_Data[SKU],Main_Data[Lead Time Days],"",0),"")</f>
        <v>46305</v>
      </c>
    </row>
    <row r="62" spans="2:10" x14ac:dyDescent="0.3">
      <c r="B62" t="str">
        <v>SKU51</v>
      </c>
      <c r="C62" t="str">
        <v>Haircare</v>
      </c>
      <c r="D62">
        <v>100</v>
      </c>
      <c r="E62">
        <v>52</v>
      </c>
      <c r="F62" s="2">
        <v>14.190300000000001</v>
      </c>
      <c r="G62" s="2">
        <v>26.700800000000001</v>
      </c>
      <c r="H62" s="2">
        <v>1419.03</v>
      </c>
      <c r="I62" t="str">
        <v>No</v>
      </c>
      <c r="J62" s="17" t="str">
        <f>IF(I62="Reorder", $G$5+_xlfn.XLOOKUP(B62,Main_Data[SKU],Main_Data[Lead Time Days],"",0),"")</f>
        <v/>
      </c>
    </row>
    <row r="63" spans="2:10" x14ac:dyDescent="0.3">
      <c r="B63" t="str">
        <v>SKU52</v>
      </c>
      <c r="C63" t="str">
        <v>Skincare</v>
      </c>
      <c r="D63">
        <v>64</v>
      </c>
      <c r="E63">
        <v>11</v>
      </c>
      <c r="F63" s="2">
        <v>9.1668000000000003</v>
      </c>
      <c r="G63" s="2">
        <v>98.031800000000004</v>
      </c>
      <c r="H63" s="2">
        <v>586.67520000000002</v>
      </c>
      <c r="I63" t="str">
        <v>No</v>
      </c>
      <c r="J63" s="17" t="str">
        <f>IF(I63="Reorder", $G$5+_xlfn.XLOOKUP(B63,Main_Data[SKU],Main_Data[Lead Time Days],"",0),"")</f>
        <v/>
      </c>
    </row>
    <row r="64" spans="2:10" x14ac:dyDescent="0.3">
      <c r="B64" t="str">
        <v>SKU53</v>
      </c>
      <c r="C64" t="str">
        <v>Skincare</v>
      </c>
      <c r="D64">
        <v>96</v>
      </c>
      <c r="E64">
        <v>54</v>
      </c>
      <c r="F64" s="2">
        <v>83.344099999999997</v>
      </c>
      <c r="G64" s="2">
        <v>30.3415</v>
      </c>
      <c r="H64" s="2">
        <v>8001.0335999999998</v>
      </c>
      <c r="I64" t="str">
        <v>No</v>
      </c>
      <c r="J64" s="17" t="str">
        <f>IF(I64="Reorder", $G$5+_xlfn.XLOOKUP(B64,Main_Data[SKU],Main_Data[Lead Time Days],"",0),"")</f>
        <v/>
      </c>
    </row>
    <row r="65" spans="2:10" x14ac:dyDescent="0.3">
      <c r="B65" t="str">
        <v>SKU54</v>
      </c>
      <c r="C65" t="str">
        <v>Haircare</v>
      </c>
      <c r="D65">
        <v>33</v>
      </c>
      <c r="E65">
        <v>61</v>
      </c>
      <c r="F65" s="2">
        <v>30.186</v>
      </c>
      <c r="G65" s="2">
        <v>31.1462</v>
      </c>
      <c r="H65" s="2">
        <v>996.13800000000003</v>
      </c>
      <c r="I65" t="str">
        <v>Reorder</v>
      </c>
      <c r="J65" s="17">
        <f ca="1">IF(I65="Reorder", $G$5+_xlfn.XLOOKUP(B65,Main_Data[SKU],Main_Data[Lead Time Days],"",0),"")</f>
        <v>46304</v>
      </c>
    </row>
    <row r="66" spans="2:10" x14ac:dyDescent="0.3">
      <c r="B66" t="str">
        <v>SKU55</v>
      </c>
      <c r="C66" t="str">
        <v>Haircare</v>
      </c>
      <c r="D66">
        <v>97</v>
      </c>
      <c r="E66">
        <v>11</v>
      </c>
      <c r="F66" s="2">
        <v>30.323499999999999</v>
      </c>
      <c r="G66" s="2">
        <v>79.855099999999993</v>
      </c>
      <c r="H66" s="2">
        <v>2941.3795</v>
      </c>
      <c r="I66" t="str">
        <v>No</v>
      </c>
      <c r="J66" s="17" t="str">
        <f>IF(I66="Reorder", $G$5+_xlfn.XLOOKUP(B66,Main_Data[SKU],Main_Data[Lead Time Days],"",0),"")</f>
        <v/>
      </c>
    </row>
    <row r="67" spans="2:10" x14ac:dyDescent="0.3">
      <c r="B67" t="str">
        <v>SKU56</v>
      </c>
      <c r="C67" t="str">
        <v>Skincare</v>
      </c>
      <c r="D67">
        <v>25</v>
      </c>
      <c r="E67">
        <v>83</v>
      </c>
      <c r="F67" s="2">
        <v>12.8363</v>
      </c>
      <c r="G67" s="2">
        <v>20.9864</v>
      </c>
      <c r="H67" s="2">
        <v>320.90749999999997</v>
      </c>
      <c r="I67" t="str">
        <v>Reorder</v>
      </c>
      <c r="J67" s="17">
        <f ca="1">IF(I67="Reorder", $G$5+_xlfn.XLOOKUP(B67,Main_Data[SKU],Main_Data[Lead Time Days],"",0),"")</f>
        <v>46305</v>
      </c>
    </row>
    <row r="68" spans="2:10" x14ac:dyDescent="0.3">
      <c r="B68" t="str">
        <v>SKU57</v>
      </c>
      <c r="C68" t="str">
        <v>Haircare</v>
      </c>
      <c r="D68">
        <v>5</v>
      </c>
      <c r="E68">
        <v>51</v>
      </c>
      <c r="F68" s="2">
        <v>67.779600000000002</v>
      </c>
      <c r="G68" s="2">
        <v>49.263199999999998</v>
      </c>
      <c r="H68" s="2">
        <v>338.89800000000002</v>
      </c>
      <c r="I68" t="str">
        <v>Reorder</v>
      </c>
      <c r="J68" s="17">
        <f ca="1">IF(I68="Reorder", $G$5+_xlfn.XLOOKUP(B68,Main_Data[SKU],Main_Data[Lead Time Days],"",0),"")</f>
        <v>46300</v>
      </c>
    </row>
    <row r="69" spans="2:10" x14ac:dyDescent="0.3">
      <c r="B69" t="str">
        <v>SKU58</v>
      </c>
      <c r="C69" t="str">
        <v>Skincare</v>
      </c>
      <c r="D69">
        <v>10</v>
      </c>
      <c r="E69">
        <v>44</v>
      </c>
      <c r="F69" s="2">
        <v>65.047399999999996</v>
      </c>
      <c r="G69" s="2">
        <v>59.8416</v>
      </c>
      <c r="H69" s="2">
        <v>650.47399999999993</v>
      </c>
      <c r="I69" t="str">
        <v>Reorder</v>
      </c>
      <c r="J69" s="17">
        <f ca="1">IF(I69="Reorder", $G$5+_xlfn.XLOOKUP(B69,Main_Data[SKU],Main_Data[Lead Time Days],"",0),"")</f>
        <v>46287</v>
      </c>
    </row>
    <row r="70" spans="2:10" x14ac:dyDescent="0.3">
      <c r="B70" t="str">
        <v>SKU59</v>
      </c>
      <c r="C70" t="str">
        <v>Cosmetics</v>
      </c>
      <c r="D70">
        <v>100</v>
      </c>
      <c r="E70">
        <v>26</v>
      </c>
      <c r="F70" s="2">
        <v>1.9008</v>
      </c>
      <c r="G70" s="2">
        <v>63.828400000000002</v>
      </c>
      <c r="H70" s="2">
        <v>190.08</v>
      </c>
      <c r="I70" t="str">
        <v>No</v>
      </c>
      <c r="J70" s="17" t="str">
        <f>IF(I70="Reorder", $G$5+_xlfn.XLOOKUP(B70,Main_Data[SKU],Main_Data[Lead Time Days],"",0),"")</f>
        <v/>
      </c>
    </row>
    <row r="71" spans="2:10" x14ac:dyDescent="0.3">
      <c r="B71" t="str">
        <v>SKU60</v>
      </c>
      <c r="C71" t="str">
        <v>Skincare</v>
      </c>
      <c r="D71">
        <v>41</v>
      </c>
      <c r="E71">
        <v>72</v>
      </c>
      <c r="F71" s="2">
        <v>87.213099999999997</v>
      </c>
      <c r="G71" s="2">
        <v>17.027999999999999</v>
      </c>
      <c r="H71" s="2">
        <v>3575.7370999999998</v>
      </c>
      <c r="I71" t="str">
        <v>Reorder</v>
      </c>
      <c r="J71" s="17">
        <f ca="1">IF(I71="Reorder", $G$5+_xlfn.XLOOKUP(B71,Main_Data[SKU],Main_Data[Lead Time Days],"",0),"")</f>
        <v>46309</v>
      </c>
    </row>
    <row r="72" spans="2:10" x14ac:dyDescent="0.3">
      <c r="B72" t="str">
        <v>SKU61</v>
      </c>
      <c r="C72" t="str">
        <v>Haircare</v>
      </c>
      <c r="D72">
        <v>32</v>
      </c>
      <c r="E72">
        <v>36</v>
      </c>
      <c r="F72" s="2">
        <v>78.702399999999997</v>
      </c>
      <c r="G72" s="2">
        <v>52.028700000000001</v>
      </c>
      <c r="H72" s="2">
        <v>2518.4767999999999</v>
      </c>
      <c r="I72" t="str">
        <v>Reorder</v>
      </c>
      <c r="J72" s="17">
        <f ca="1">IF(I72="Reorder", $G$5+_xlfn.XLOOKUP(B72,Main_Data[SKU],Main_Data[Lead Time Days],"",0),"")</f>
        <v>46305</v>
      </c>
    </row>
    <row r="73" spans="2:10" x14ac:dyDescent="0.3">
      <c r="B73" t="str">
        <v>SKU62</v>
      </c>
      <c r="C73" t="str">
        <v>Cosmetics</v>
      </c>
      <c r="D73">
        <v>86</v>
      </c>
      <c r="E73">
        <v>40</v>
      </c>
      <c r="F73" s="2">
        <v>21.0486</v>
      </c>
      <c r="G73" s="2">
        <v>72.796400000000006</v>
      </c>
      <c r="H73" s="2">
        <v>1810.1795999999999</v>
      </c>
      <c r="I73" t="str">
        <v>No</v>
      </c>
      <c r="J73" s="17" t="str">
        <f>IF(I73="Reorder", $G$5+_xlfn.XLOOKUP(B73,Main_Data[SKU],Main_Data[Lead Time Days],"",0),"")</f>
        <v/>
      </c>
    </row>
    <row r="74" spans="2:10" x14ac:dyDescent="0.3">
      <c r="B74" t="str">
        <v>SKU63</v>
      </c>
      <c r="C74" t="str">
        <v>Skincare</v>
      </c>
      <c r="D74">
        <v>54</v>
      </c>
      <c r="E74">
        <v>10</v>
      </c>
      <c r="F74" s="2">
        <v>20.074999999999999</v>
      </c>
      <c r="G74" s="2">
        <v>13.0174</v>
      </c>
      <c r="H74" s="2">
        <v>1084.05</v>
      </c>
      <c r="I74" t="str">
        <v>No</v>
      </c>
      <c r="J74" s="17" t="str">
        <f>IF(I74="Reorder", $G$5+_xlfn.XLOOKUP(B74,Main_Data[SKU],Main_Data[Lead Time Days],"",0),"")</f>
        <v/>
      </c>
    </row>
    <row r="75" spans="2:10" x14ac:dyDescent="0.3">
      <c r="B75" t="str">
        <v>SKU64</v>
      </c>
      <c r="C75" t="str">
        <v>Skincare</v>
      </c>
      <c r="D75">
        <v>73</v>
      </c>
      <c r="E75">
        <v>75</v>
      </c>
      <c r="F75" s="2">
        <v>8.6929999999999996</v>
      </c>
      <c r="G75" s="2">
        <v>89.634100000000004</v>
      </c>
      <c r="H75" s="2">
        <v>634.58899999999994</v>
      </c>
      <c r="I75" t="str">
        <v>Reorder</v>
      </c>
      <c r="J75" s="17">
        <f ca="1">IF(I75="Reorder", $G$5+_xlfn.XLOOKUP(B75,Main_Data[SKU],Main_Data[Lead Time Days],"",0),"")</f>
        <v>46309</v>
      </c>
    </row>
    <row r="76" spans="2:10" x14ac:dyDescent="0.3">
      <c r="B76" t="str">
        <v>SKU65</v>
      </c>
      <c r="C76" t="str">
        <v>Skincare</v>
      </c>
      <c r="D76">
        <v>57</v>
      </c>
      <c r="E76">
        <v>54</v>
      </c>
      <c r="F76" s="2">
        <v>1.5972</v>
      </c>
      <c r="G76" s="2">
        <v>33.697699999999998</v>
      </c>
      <c r="H76" s="2">
        <v>91.040399999999991</v>
      </c>
      <c r="I76" t="str">
        <v>No</v>
      </c>
      <c r="J76" s="17" t="str">
        <f>IF(I76="Reorder", $G$5+_xlfn.XLOOKUP(B76,Main_Data[SKU],Main_Data[Lead Time Days],"",0),"")</f>
        <v/>
      </c>
    </row>
    <row r="77" spans="2:10" x14ac:dyDescent="0.3">
      <c r="B77" t="str">
        <v>SKU66</v>
      </c>
      <c r="C77" t="str">
        <v>Skincare</v>
      </c>
      <c r="D77">
        <v>13</v>
      </c>
      <c r="E77">
        <v>19</v>
      </c>
      <c r="F77" s="2">
        <v>42.084400000000002</v>
      </c>
      <c r="G77" s="2">
        <v>26.0349</v>
      </c>
      <c r="H77" s="2">
        <v>547.09720000000004</v>
      </c>
      <c r="I77" t="str">
        <v>Reorder</v>
      </c>
      <c r="J77" s="17">
        <f ca="1">IF(I77="Reorder", $G$5+_xlfn.XLOOKUP(B77,Main_Data[SKU],Main_Data[Lead Time Days],"",0),"")</f>
        <v>46299</v>
      </c>
    </row>
    <row r="78" spans="2:10" x14ac:dyDescent="0.3">
      <c r="B78" t="str">
        <v>SKU67</v>
      </c>
      <c r="C78" t="str">
        <v>Skincare</v>
      </c>
      <c r="D78">
        <v>12</v>
      </c>
      <c r="E78">
        <v>71</v>
      </c>
      <c r="F78" s="2">
        <v>7.0579000000000001</v>
      </c>
      <c r="G78" s="2">
        <v>87.755399999999995</v>
      </c>
      <c r="H78" s="2">
        <v>84.694800000000001</v>
      </c>
      <c r="I78" t="str">
        <v>Reorder</v>
      </c>
      <c r="J78" s="17">
        <f ca="1">IF(I78="Reorder", $G$5+_xlfn.XLOOKUP(B78,Main_Data[SKU],Main_Data[Lead Time Days],"",0),"")</f>
        <v>46291</v>
      </c>
    </row>
    <row r="79" spans="2:10" x14ac:dyDescent="0.3">
      <c r="B79" t="str">
        <v>SKU68</v>
      </c>
      <c r="C79" t="str">
        <v>Haircare</v>
      </c>
      <c r="D79">
        <v>0</v>
      </c>
      <c r="E79">
        <v>58</v>
      </c>
      <c r="F79" s="2">
        <v>97.113600000000005</v>
      </c>
      <c r="G79" s="2">
        <v>37.931800000000003</v>
      </c>
      <c r="H79" s="2">
        <v>0</v>
      </c>
      <c r="I79" t="str">
        <v>Reorder</v>
      </c>
      <c r="J79" s="17">
        <f ca="1">IF(I79="Reorder", $G$5+_xlfn.XLOOKUP(B79,Main_Data[SKU],Main_Data[Lead Time Days],"",0),"")</f>
        <v>46290</v>
      </c>
    </row>
    <row r="80" spans="2:10" x14ac:dyDescent="0.3">
      <c r="B80" t="str">
        <v>SKU69</v>
      </c>
      <c r="C80" t="str">
        <v>Skincare</v>
      </c>
      <c r="D80">
        <v>95</v>
      </c>
      <c r="E80">
        <v>27</v>
      </c>
      <c r="F80" s="2">
        <v>77.627799999999993</v>
      </c>
      <c r="G80" s="2">
        <v>54.865499999999997</v>
      </c>
      <c r="H80" s="2">
        <v>7374.6409999999996</v>
      </c>
      <c r="I80" t="str">
        <v>No</v>
      </c>
      <c r="J80" s="17" t="str">
        <f>IF(I80="Reorder", $G$5+_xlfn.XLOOKUP(B80,Main_Data[SKU],Main_Data[Lead Time Days],"",0),"")</f>
        <v/>
      </c>
    </row>
    <row r="81" spans="2:10" x14ac:dyDescent="0.3">
      <c r="B81" t="str">
        <v>SKU70</v>
      </c>
      <c r="C81" t="str">
        <v>Haircare</v>
      </c>
      <c r="D81">
        <v>10</v>
      </c>
      <c r="E81">
        <v>22</v>
      </c>
      <c r="F81" s="2">
        <v>11.440799999999999</v>
      </c>
      <c r="G81" s="2">
        <v>47.914499999999997</v>
      </c>
      <c r="H81" s="2">
        <v>114.40799999999999</v>
      </c>
      <c r="I81" t="str">
        <v>Reorder</v>
      </c>
      <c r="J81" s="17">
        <f ca="1">IF(I81="Reorder", $G$5+_xlfn.XLOOKUP(B81,Main_Data[SKU],Main_Data[Lead Time Days],"",0),"")</f>
        <v>46294</v>
      </c>
    </row>
    <row r="82" spans="2:10" x14ac:dyDescent="0.3">
      <c r="B82" t="str">
        <v>SKU71</v>
      </c>
      <c r="C82" t="str">
        <v>Cosmetics</v>
      </c>
      <c r="D82">
        <v>76</v>
      </c>
      <c r="E82">
        <v>26</v>
      </c>
      <c r="F82" s="2">
        <v>30.6617</v>
      </c>
      <c r="G82" s="2">
        <v>6.3815</v>
      </c>
      <c r="H82" s="2">
        <v>2330.2892000000002</v>
      </c>
      <c r="I82" t="str">
        <v>No</v>
      </c>
      <c r="J82" s="17" t="str">
        <f>IF(I82="Reorder", $G$5+_xlfn.XLOOKUP(B82,Main_Data[SKU],Main_Data[Lead Time Days],"",0),"")</f>
        <v/>
      </c>
    </row>
    <row r="83" spans="2:10" x14ac:dyDescent="0.3">
      <c r="B83" t="str">
        <v>SKU72</v>
      </c>
      <c r="C83" t="str">
        <v>Cosmetics</v>
      </c>
      <c r="D83">
        <v>57</v>
      </c>
      <c r="E83">
        <v>77</v>
      </c>
      <c r="F83" s="2">
        <v>55.7605</v>
      </c>
      <c r="G83" s="2">
        <v>90.204400000000007</v>
      </c>
      <c r="H83" s="2">
        <v>3178.3485000000001</v>
      </c>
      <c r="I83" t="str">
        <v>Reorder</v>
      </c>
      <c r="J83" s="17">
        <f ca="1">IF(I83="Reorder", $G$5+_xlfn.XLOOKUP(B83,Main_Data[SKU],Main_Data[Lead Time Days],"",0),"")</f>
        <v>46311</v>
      </c>
    </row>
    <row r="84" spans="2:10" x14ac:dyDescent="0.3">
      <c r="B84" t="str">
        <v>SKU73</v>
      </c>
      <c r="C84" t="str">
        <v>Cosmetics</v>
      </c>
      <c r="D84">
        <v>17</v>
      </c>
      <c r="E84">
        <v>66</v>
      </c>
      <c r="F84" s="2">
        <v>46.870199999999997</v>
      </c>
      <c r="G84" s="2">
        <v>83.850999999999999</v>
      </c>
      <c r="H84" s="2">
        <v>796.79339999999991</v>
      </c>
      <c r="I84" t="str">
        <v>Reorder</v>
      </c>
      <c r="J84" s="17">
        <f ca="1">IF(I84="Reorder", $G$5+_xlfn.XLOOKUP(B84,Main_Data[SKU],Main_Data[Lead Time Days],"",0),"")</f>
        <v>46307</v>
      </c>
    </row>
    <row r="85" spans="2:10" x14ac:dyDescent="0.3">
      <c r="B85" t="str">
        <v>SKU74</v>
      </c>
      <c r="C85" t="str">
        <v>Haircare</v>
      </c>
      <c r="D85">
        <v>41</v>
      </c>
      <c r="E85">
        <v>1</v>
      </c>
      <c r="F85" s="2">
        <v>80.5809</v>
      </c>
      <c r="G85" s="2">
        <v>3.17</v>
      </c>
      <c r="H85" s="2">
        <v>3303.8168999999998</v>
      </c>
      <c r="I85" t="str">
        <v>No</v>
      </c>
      <c r="J85" s="17" t="str">
        <f>IF(I85="Reorder", $G$5+_xlfn.XLOOKUP(B85,Main_Data[SKU],Main_Data[Lead Time Days],"",0),"")</f>
        <v/>
      </c>
    </row>
    <row r="86" spans="2:10" x14ac:dyDescent="0.3">
      <c r="B86" t="str">
        <v>SKU75</v>
      </c>
      <c r="C86" t="str">
        <v>Skincare</v>
      </c>
      <c r="D86">
        <v>16</v>
      </c>
      <c r="E86">
        <v>56</v>
      </c>
      <c r="F86" s="2">
        <v>48.064799999999998</v>
      </c>
      <c r="G86" s="2">
        <v>92.996899999999997</v>
      </c>
      <c r="H86" s="2">
        <v>769.03679999999997</v>
      </c>
      <c r="I86" t="str">
        <v>Reorder</v>
      </c>
      <c r="J86" s="17">
        <f ca="1">IF(I86="Reorder", $G$5+_xlfn.XLOOKUP(B86,Main_Data[SKU],Main_Data[Lead Time Days],"",0),"")</f>
        <v>46302</v>
      </c>
    </row>
    <row r="87" spans="2:10" x14ac:dyDescent="0.3">
      <c r="B87" t="str">
        <v>SKU76</v>
      </c>
      <c r="C87" t="str">
        <v>Haircare</v>
      </c>
      <c r="D87">
        <v>38</v>
      </c>
      <c r="E87">
        <v>22</v>
      </c>
      <c r="F87" s="2">
        <v>64.323599999999999</v>
      </c>
      <c r="G87" s="2">
        <v>69.108800000000002</v>
      </c>
      <c r="H87" s="2">
        <v>2444.2968000000001</v>
      </c>
      <c r="I87" t="str">
        <v>No</v>
      </c>
      <c r="J87" s="17" t="str">
        <f>IF(I87="Reorder", $G$5+_xlfn.XLOOKUP(B87,Main_Data[SKU],Main_Data[Lead Time Days],"",0),"")</f>
        <v/>
      </c>
    </row>
    <row r="88" spans="2:10" x14ac:dyDescent="0.3">
      <c r="B88" t="str">
        <v>SKU77</v>
      </c>
      <c r="C88" t="str">
        <v>Haircare</v>
      </c>
      <c r="D88">
        <v>96</v>
      </c>
      <c r="E88">
        <v>57</v>
      </c>
      <c r="F88" s="2">
        <v>42.952399999999997</v>
      </c>
      <c r="G88" s="2">
        <v>57.4497</v>
      </c>
      <c r="H88" s="2">
        <v>4123.4303999999993</v>
      </c>
      <c r="I88" t="str">
        <v>No</v>
      </c>
      <c r="J88" s="17" t="str">
        <f>IF(I88="Reorder", $G$5+_xlfn.XLOOKUP(B88,Main_Data[SKU],Main_Data[Lead Time Days],"",0),"")</f>
        <v/>
      </c>
    </row>
    <row r="89" spans="2:10" x14ac:dyDescent="0.3">
      <c r="B89" t="str">
        <v>SKU78</v>
      </c>
      <c r="C89" t="str">
        <v>Haircare</v>
      </c>
      <c r="D89">
        <v>5</v>
      </c>
      <c r="E89">
        <v>51</v>
      </c>
      <c r="F89" s="2">
        <v>71.126499999999993</v>
      </c>
      <c r="G89" s="2">
        <v>6.3068999999999997</v>
      </c>
      <c r="H89" s="2">
        <v>355.63249999999994</v>
      </c>
      <c r="I89" t="str">
        <v>Reorder</v>
      </c>
      <c r="J89" s="17">
        <f ca="1">IF(I89="Reorder", $G$5+_xlfn.XLOOKUP(B89,Main_Data[SKU],Main_Data[Lead Time Days],"",0),"")</f>
        <v>46286</v>
      </c>
    </row>
    <row r="90" spans="2:10" x14ac:dyDescent="0.3">
      <c r="B90" t="str">
        <v>SKU79</v>
      </c>
      <c r="C90" t="str">
        <v>Haircare</v>
      </c>
      <c r="D90">
        <v>31</v>
      </c>
      <c r="E90">
        <v>20</v>
      </c>
      <c r="F90" s="2">
        <v>57.870899999999999</v>
      </c>
      <c r="G90" s="2">
        <v>57.057000000000002</v>
      </c>
      <c r="H90" s="2">
        <v>1793.9979000000001</v>
      </c>
      <c r="I90" t="str">
        <v>No</v>
      </c>
      <c r="J90" s="17" t="str">
        <f>IF(I90="Reorder", $G$5+_xlfn.XLOOKUP(B90,Main_Data[SKU],Main_Data[Lead Time Days],"",0),"")</f>
        <v/>
      </c>
    </row>
    <row r="91" spans="2:10" x14ac:dyDescent="0.3">
      <c r="B91" t="str">
        <v>SKU80</v>
      </c>
      <c r="C91" t="str">
        <v>Skincare</v>
      </c>
      <c r="D91">
        <v>39</v>
      </c>
      <c r="E91">
        <v>41</v>
      </c>
      <c r="F91" s="2">
        <v>76.961200000000005</v>
      </c>
      <c r="G91" s="2">
        <v>91.128299999999996</v>
      </c>
      <c r="H91" s="2">
        <v>3001.4868000000001</v>
      </c>
      <c r="I91" t="str">
        <v>Reorder</v>
      </c>
      <c r="J91" s="17">
        <f ca="1">IF(I91="Reorder", $G$5+_xlfn.XLOOKUP(B91,Main_Data[SKU],Main_Data[Lead Time Days],"",0),"")</f>
        <v>46296</v>
      </c>
    </row>
    <row r="92" spans="2:10" x14ac:dyDescent="0.3">
      <c r="B92" t="str">
        <v>SKU81</v>
      </c>
      <c r="C92" t="str">
        <v>Haircare</v>
      </c>
      <c r="D92">
        <v>48</v>
      </c>
      <c r="E92">
        <v>8</v>
      </c>
      <c r="F92" s="2">
        <v>19.7896</v>
      </c>
      <c r="G92" s="2">
        <v>72.819199999999995</v>
      </c>
      <c r="H92" s="2">
        <v>949.9008</v>
      </c>
      <c r="I92" t="str">
        <v>No</v>
      </c>
      <c r="J92" s="17" t="str">
        <f>IF(I92="Reorder", $G$5+_xlfn.XLOOKUP(B92,Main_Data[SKU],Main_Data[Lead Time Days],"",0),"")</f>
        <v/>
      </c>
    </row>
    <row r="93" spans="2:10" x14ac:dyDescent="0.3">
      <c r="B93" t="str">
        <v>SKU82</v>
      </c>
      <c r="C93" t="str">
        <v>Skincare</v>
      </c>
      <c r="D93">
        <v>42</v>
      </c>
      <c r="E93">
        <v>72</v>
      </c>
      <c r="F93" s="2">
        <v>4.4653</v>
      </c>
      <c r="G93" s="2">
        <v>17.0349</v>
      </c>
      <c r="H93" s="2">
        <v>187.54259999999999</v>
      </c>
      <c r="I93" t="str">
        <v>Reorder</v>
      </c>
      <c r="J93" s="17">
        <f ca="1">IF(I93="Reorder", $G$5+_xlfn.XLOOKUP(B93,Main_Data[SKU],Main_Data[Lead Time Days],"",0),"")</f>
        <v>46301</v>
      </c>
    </row>
    <row r="94" spans="2:10" x14ac:dyDescent="0.3">
      <c r="B94" t="str">
        <v>SKU83</v>
      </c>
      <c r="C94" t="str">
        <v>Haircare</v>
      </c>
      <c r="D94">
        <v>65</v>
      </c>
      <c r="E94">
        <v>7</v>
      </c>
      <c r="F94" s="2">
        <v>97.730599999999995</v>
      </c>
      <c r="G94" s="2">
        <v>68.911199999999994</v>
      </c>
      <c r="H94" s="2">
        <v>6352.4889999999996</v>
      </c>
      <c r="I94" t="str">
        <v>No</v>
      </c>
      <c r="J94" s="17" t="str">
        <f>IF(I94="Reorder", $G$5+_xlfn.XLOOKUP(B94,Main_Data[SKU],Main_Data[Lead Time Days],"",0),"")</f>
        <v/>
      </c>
    </row>
    <row r="95" spans="2:10" x14ac:dyDescent="0.3">
      <c r="B95" t="str">
        <v>SKU84</v>
      </c>
      <c r="C95" t="str">
        <v>Haircare</v>
      </c>
      <c r="D95">
        <v>73</v>
      </c>
      <c r="E95">
        <v>80</v>
      </c>
      <c r="F95" s="2">
        <v>33.808599999999998</v>
      </c>
      <c r="G95" s="2">
        <v>89.104399999999998</v>
      </c>
      <c r="H95" s="2">
        <v>2468.0277999999998</v>
      </c>
      <c r="I95" t="str">
        <v>Reorder</v>
      </c>
      <c r="J95" s="17">
        <f ca="1">IF(I95="Reorder", $G$5+_xlfn.XLOOKUP(B95,Main_Data[SKU],Main_Data[Lead Time Days],"",0),"")</f>
        <v>46308</v>
      </c>
    </row>
    <row r="96" spans="2:10" x14ac:dyDescent="0.3">
      <c r="B96" t="str">
        <v>SKU85</v>
      </c>
      <c r="C96" t="str">
        <v>Cosmetics</v>
      </c>
      <c r="D96">
        <v>15</v>
      </c>
      <c r="E96">
        <v>66</v>
      </c>
      <c r="F96" s="2">
        <v>69.929299999999998</v>
      </c>
      <c r="G96" s="2">
        <v>76.962999999999994</v>
      </c>
      <c r="H96" s="2">
        <v>1048.9395</v>
      </c>
      <c r="I96" t="str">
        <v>Reorder</v>
      </c>
      <c r="J96" s="17">
        <f ca="1">IF(I96="Reorder", $G$5+_xlfn.XLOOKUP(B96,Main_Data[SKU],Main_Data[Lead Time Days],"",0),"")</f>
        <v>46300</v>
      </c>
    </row>
    <row r="97" spans="2:10" x14ac:dyDescent="0.3">
      <c r="B97" t="str">
        <v>SKU86</v>
      </c>
      <c r="C97" t="str">
        <v>Skincare</v>
      </c>
      <c r="D97">
        <v>32</v>
      </c>
      <c r="E97">
        <v>22</v>
      </c>
      <c r="F97" s="2">
        <v>74.608999999999995</v>
      </c>
      <c r="G97" s="2">
        <v>19.998200000000001</v>
      </c>
      <c r="H97" s="2">
        <v>2387.4879999999998</v>
      </c>
      <c r="I97" t="str">
        <v>No</v>
      </c>
      <c r="J97" s="17" t="str">
        <f>IF(I97="Reorder", $G$5+_xlfn.XLOOKUP(B97,Main_Data[SKU],Main_Data[Lead Time Days],"",0),"")</f>
        <v/>
      </c>
    </row>
    <row r="98" spans="2:10" x14ac:dyDescent="0.3">
      <c r="B98" t="str">
        <v>SKU87</v>
      </c>
      <c r="C98" t="str">
        <v>Haircare</v>
      </c>
      <c r="D98">
        <v>5</v>
      </c>
      <c r="E98">
        <v>55</v>
      </c>
      <c r="F98" s="2">
        <v>28.696999999999999</v>
      </c>
      <c r="G98" s="2">
        <v>80.414000000000001</v>
      </c>
      <c r="H98" s="2">
        <v>143.48499999999999</v>
      </c>
      <c r="I98" t="str">
        <v>Reorder</v>
      </c>
      <c r="J98" s="17">
        <f ca="1">IF(I98="Reorder", $G$5+_xlfn.XLOOKUP(B98,Main_Data[SKU],Main_Data[Lead Time Days],"",0),"")</f>
        <v>46289</v>
      </c>
    </row>
    <row r="99" spans="2:10" x14ac:dyDescent="0.3">
      <c r="B99" t="str">
        <v>SKU88</v>
      </c>
      <c r="C99" t="str">
        <v>Cosmetics</v>
      </c>
      <c r="D99">
        <v>60</v>
      </c>
      <c r="E99">
        <v>85</v>
      </c>
      <c r="F99" s="2">
        <v>68.184899999999999</v>
      </c>
      <c r="G99" s="2">
        <v>75.270399999999995</v>
      </c>
      <c r="H99" s="2">
        <v>4091.0940000000001</v>
      </c>
      <c r="I99" t="str">
        <v>Reorder</v>
      </c>
      <c r="J99" s="17">
        <f ca="1">IF(I99="Reorder", $G$5+_xlfn.XLOOKUP(B99,Main_Data[SKU],Main_Data[Lead Time Days],"",0),"")</f>
        <v>46300</v>
      </c>
    </row>
    <row r="100" spans="2:10" x14ac:dyDescent="0.3">
      <c r="B100" t="str">
        <v>SKU89</v>
      </c>
      <c r="C100" t="str">
        <v>Cosmetics</v>
      </c>
      <c r="D100">
        <v>90</v>
      </c>
      <c r="E100">
        <v>27</v>
      </c>
      <c r="F100" s="2">
        <v>46.603900000000003</v>
      </c>
      <c r="G100" s="2">
        <v>97.760099999999994</v>
      </c>
      <c r="H100" s="2">
        <v>4194.3510000000006</v>
      </c>
      <c r="I100" t="str">
        <v>No</v>
      </c>
      <c r="J100" s="17" t="str">
        <f>IF(I100="Reorder", $G$5+_xlfn.XLOOKUP(B100,Main_Data[SKU],Main_Data[Lead Time Days],"",0),"")</f>
        <v/>
      </c>
    </row>
    <row r="101" spans="2:10" x14ac:dyDescent="0.3">
      <c r="B101" t="str">
        <v>SKU90</v>
      </c>
      <c r="C101" t="str">
        <v>Skincare</v>
      </c>
      <c r="D101">
        <v>66</v>
      </c>
      <c r="E101">
        <v>96</v>
      </c>
      <c r="F101" s="2">
        <v>85.676000000000002</v>
      </c>
      <c r="G101" s="2">
        <v>13.8819</v>
      </c>
      <c r="H101" s="2">
        <v>5654.616</v>
      </c>
      <c r="I101" t="str">
        <v>Reorder</v>
      </c>
      <c r="J101" s="17">
        <f ca="1">IF(I101="Reorder", $G$5+_xlfn.XLOOKUP(B101,Main_Data[SKU],Main_Data[Lead Time Days],"",0),"")</f>
        <v>46300</v>
      </c>
    </row>
    <row r="102" spans="2:10" x14ac:dyDescent="0.3">
      <c r="B102" t="str">
        <v>SKU91</v>
      </c>
      <c r="C102" t="str">
        <v>Cosmetics</v>
      </c>
      <c r="D102">
        <v>98</v>
      </c>
      <c r="E102">
        <v>85</v>
      </c>
      <c r="F102" s="2">
        <v>39.7729</v>
      </c>
      <c r="G102" s="2">
        <v>62.112000000000002</v>
      </c>
      <c r="H102" s="2">
        <v>3897.7442000000001</v>
      </c>
      <c r="I102" t="str">
        <v>No</v>
      </c>
      <c r="J102" s="17" t="str">
        <f>IF(I102="Reorder", $G$5+_xlfn.XLOOKUP(B102,Main_Data[SKU],Main_Data[Lead Time Days],"",0),"")</f>
        <v/>
      </c>
    </row>
    <row r="103" spans="2:10" x14ac:dyDescent="0.3">
      <c r="B103" t="str">
        <v>SKU92</v>
      </c>
      <c r="C103" t="str">
        <v>Cosmetics</v>
      </c>
      <c r="D103">
        <v>90</v>
      </c>
      <c r="E103">
        <v>10</v>
      </c>
      <c r="F103" s="2">
        <v>62.612699999999997</v>
      </c>
      <c r="G103" s="2">
        <v>47.714199999999998</v>
      </c>
      <c r="H103" s="2">
        <v>5635.143</v>
      </c>
      <c r="I103" t="str">
        <v>No</v>
      </c>
      <c r="J103" s="17" t="str">
        <f>IF(I103="Reorder", $G$5+_xlfn.XLOOKUP(B103,Main_Data[SKU],Main_Data[Lead Time Days],"",0),"")</f>
        <v/>
      </c>
    </row>
    <row r="104" spans="2:10" x14ac:dyDescent="0.3">
      <c r="B104" t="str">
        <v>SKU93</v>
      </c>
      <c r="C104" t="str">
        <v>Haircare</v>
      </c>
      <c r="D104">
        <v>63</v>
      </c>
      <c r="E104">
        <v>66</v>
      </c>
      <c r="F104" s="2">
        <v>35.633699999999997</v>
      </c>
      <c r="G104" s="2">
        <v>69.290800000000004</v>
      </c>
      <c r="H104" s="2">
        <v>2244.9231</v>
      </c>
      <c r="I104" t="str">
        <v>Reorder</v>
      </c>
      <c r="J104" s="17">
        <f ca="1">IF(I104="Reorder", $G$5+_xlfn.XLOOKUP(B104,Main_Data[SKU],Main_Data[Lead Time Days],"",0),"")</f>
        <v>46299</v>
      </c>
    </row>
    <row r="105" spans="2:10" x14ac:dyDescent="0.3">
      <c r="B105" t="str">
        <v>SKU94</v>
      </c>
      <c r="C105" t="str">
        <v>Cosmetics</v>
      </c>
      <c r="D105">
        <v>77</v>
      </c>
      <c r="E105">
        <v>72</v>
      </c>
      <c r="F105" s="2">
        <v>60.3874</v>
      </c>
      <c r="G105" s="2">
        <v>3.0377000000000001</v>
      </c>
      <c r="H105" s="2">
        <v>4649.8297999999995</v>
      </c>
      <c r="I105" t="str">
        <v>No</v>
      </c>
      <c r="J105" s="17" t="str">
        <f>IF(I105="Reorder", $G$5+_xlfn.XLOOKUP(B105,Main_Data[SKU],Main_Data[Lead Time Days],"",0),"")</f>
        <v/>
      </c>
    </row>
    <row r="106" spans="2:10" x14ac:dyDescent="0.3">
      <c r="B106" t="str">
        <v>SKU95</v>
      </c>
      <c r="C106" t="str">
        <v>Haircare</v>
      </c>
      <c r="D106">
        <v>15</v>
      </c>
      <c r="E106">
        <v>26</v>
      </c>
      <c r="F106" s="2">
        <v>58.890700000000002</v>
      </c>
      <c r="G106" s="2">
        <v>77.903899999999993</v>
      </c>
      <c r="H106" s="2">
        <v>883.3605</v>
      </c>
      <c r="I106" t="str">
        <v>Reorder</v>
      </c>
      <c r="J106" s="17">
        <f ca="1">IF(I106="Reorder", $G$5+_xlfn.XLOOKUP(B106,Main_Data[SKU],Main_Data[Lead Time Days],"",0),"")</f>
        <v>46296</v>
      </c>
    </row>
    <row r="107" spans="2:10" x14ac:dyDescent="0.3">
      <c r="B107" t="str">
        <v>SKU96</v>
      </c>
      <c r="C107" t="str">
        <v>Cosmetics</v>
      </c>
      <c r="D107">
        <v>67</v>
      </c>
      <c r="E107">
        <v>32</v>
      </c>
      <c r="F107" s="2">
        <v>17.803799999999999</v>
      </c>
      <c r="G107" s="2">
        <v>24.423100000000002</v>
      </c>
      <c r="H107" s="2">
        <v>1192.8545999999999</v>
      </c>
      <c r="I107" t="str">
        <v>No</v>
      </c>
      <c r="J107" s="17" t="str">
        <f>IF(I107="Reorder", $G$5+_xlfn.XLOOKUP(B107,Main_Data[SKU],Main_Data[Lead Time Days],"",0),"")</f>
        <v/>
      </c>
    </row>
    <row r="108" spans="2:10" x14ac:dyDescent="0.3">
      <c r="B108" t="str">
        <v>SKU97</v>
      </c>
      <c r="C108" t="str">
        <v>Haircare</v>
      </c>
      <c r="D108">
        <v>46</v>
      </c>
      <c r="E108">
        <v>4</v>
      </c>
      <c r="F108" s="2">
        <v>65.765199999999993</v>
      </c>
      <c r="G108" s="2">
        <v>3.5261</v>
      </c>
      <c r="H108" s="2">
        <v>3025.1991999999996</v>
      </c>
      <c r="I108" t="str">
        <v>No</v>
      </c>
      <c r="J108" s="17" t="str">
        <f>IF(I108="Reorder", $G$5+_xlfn.XLOOKUP(B108,Main_Data[SKU],Main_Data[Lead Time Days],"",0),"")</f>
        <v/>
      </c>
    </row>
    <row r="109" spans="2:10" x14ac:dyDescent="0.3">
      <c r="B109" t="str">
        <v>SKU98</v>
      </c>
      <c r="C109" t="str">
        <v>Skincare</v>
      </c>
      <c r="D109">
        <v>53</v>
      </c>
      <c r="E109">
        <v>27</v>
      </c>
      <c r="F109" s="2">
        <v>5.6047000000000002</v>
      </c>
      <c r="G109" s="2">
        <v>19.7546</v>
      </c>
      <c r="H109" s="2">
        <v>297.04910000000001</v>
      </c>
      <c r="I109" t="str">
        <v>No</v>
      </c>
      <c r="J109" s="17" t="str">
        <f>IF(I109="Reorder", $G$5+_xlfn.XLOOKUP(B109,Main_Data[SKU],Main_Data[Lead Time Days],"",0),"")</f>
        <v/>
      </c>
    </row>
    <row r="110" spans="2:10" x14ac:dyDescent="0.3">
      <c r="B110" t="str">
        <v>SKU99</v>
      </c>
      <c r="C110" t="str">
        <v>Haircare</v>
      </c>
      <c r="D110">
        <v>55</v>
      </c>
      <c r="E110">
        <v>59</v>
      </c>
      <c r="F110" s="2">
        <v>38.072899999999997</v>
      </c>
      <c r="G110" s="2">
        <v>68.517799999999994</v>
      </c>
      <c r="H110" s="2">
        <v>2094.0094999999997</v>
      </c>
      <c r="I110" t="str">
        <v>Reorder</v>
      </c>
      <c r="J110" s="17">
        <f ca="1">IF(I110="Reorder", $G$5+_xlfn.XLOOKUP(B110,Main_Data[SKU],Main_Data[Lead Time Days],"",0),"")</f>
        <v>46290</v>
      </c>
    </row>
    <row r="111" spans="2:10" x14ac:dyDescent="0.3">
      <c r="B111">
        <v>0</v>
      </c>
      <c r="C111">
        <v>0</v>
      </c>
      <c r="D111">
        <v>0</v>
      </c>
      <c r="E111">
        <v>0</v>
      </c>
      <c r="F111">
        <v>0</v>
      </c>
      <c r="G111">
        <v>0</v>
      </c>
      <c r="H111">
        <v>0</v>
      </c>
      <c r="I111">
        <v>0</v>
      </c>
    </row>
  </sheetData>
  <mergeCells count="1">
    <mergeCell ref="B1:I2"/>
  </mergeCells>
  <conditionalFormatting sqref="I11:I110">
    <cfRule type="containsText" dxfId="0" priority="1" operator="containsText" text="reorder">
      <formula>NOT(ISERROR(SEARCH("reorder",I11)))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60135-E8E7-460B-BBFB-7CCA29122936}">
  <dimension ref="B2:H63"/>
  <sheetViews>
    <sheetView workbookViewId="0">
      <selection activeCell="G10" sqref="G10"/>
    </sheetView>
  </sheetViews>
  <sheetFormatPr defaultRowHeight="14.4" x14ac:dyDescent="0.3"/>
  <cols>
    <col min="4" max="4" width="15.6640625" bestFit="1" customWidth="1"/>
    <col min="5" max="5" width="10.109375" bestFit="1" customWidth="1"/>
    <col min="6" max="6" width="10" bestFit="1" customWidth="1"/>
  </cols>
  <sheetData>
    <row r="2" spans="2:8" x14ac:dyDescent="0.3">
      <c r="B2" s="28" t="s">
        <v>142</v>
      </c>
      <c r="C2" s="28"/>
      <c r="D2" s="28"/>
      <c r="E2" s="28"/>
      <c r="F2" s="28"/>
      <c r="G2" s="28"/>
      <c r="H2" s="28"/>
    </row>
    <row r="3" spans="2:8" x14ac:dyDescent="0.3">
      <c r="B3" s="28"/>
      <c r="C3" s="28"/>
      <c r="D3" s="28"/>
      <c r="E3" s="28"/>
      <c r="F3" s="28"/>
      <c r="G3" s="28"/>
      <c r="H3" s="28"/>
    </row>
    <row r="6" spans="2:8" x14ac:dyDescent="0.3">
      <c r="D6" s="8" t="s">
        <v>136</v>
      </c>
      <c r="E6" s="10">
        <f>COUNTA(C10:C63)</f>
        <v>54</v>
      </c>
    </row>
    <row r="7" spans="2:8" x14ac:dyDescent="0.3">
      <c r="D7" s="8" t="s">
        <v>141</v>
      </c>
      <c r="E7" s="15">
        <f>SUM(F10:F63)</f>
        <v>160295.87870000003</v>
      </c>
    </row>
    <row r="9" spans="2:8" x14ac:dyDescent="0.3">
      <c r="C9" s="14" t="s">
        <v>0</v>
      </c>
      <c r="D9" s="14" t="s">
        <v>137</v>
      </c>
      <c r="E9" s="14" t="s">
        <v>138</v>
      </c>
      <c r="F9" s="14" t="s">
        <v>139</v>
      </c>
      <c r="G9" s="14" t="s">
        <v>140</v>
      </c>
    </row>
    <row r="10" spans="2:8" x14ac:dyDescent="0.3">
      <c r="C10" t="str" cm="1">
        <f t="array" ref="C10:D63">_xlfn._xlws.FILTER(Main_Data[[SKU]:[Product Category]],Main_Data[Restock Status]= "Reorder")</f>
        <v>SKU0</v>
      </c>
      <c r="D10" t="str">
        <v>Haircare</v>
      </c>
      <c r="E10">
        <f>_xlfn.XLOOKUP(C10,Main_Data[SKU],Main_Data[Reorder Quantity],,0)</f>
        <v>96</v>
      </c>
      <c r="F10" s="22">
        <f>E10*_xlfn.XLOOKUP(C10,Main_Data[SKU],Main_Data[Unit Cost],,0)</f>
        <v>4442.8703999999998</v>
      </c>
      <c r="G10" t="str">
        <f>_xlfn.XLOOKUP(C10,Main_Data[SKU],Main_Data[Supplier],,0)</f>
        <v>Supplier 3</v>
      </c>
    </row>
    <row r="11" spans="2:8" x14ac:dyDescent="0.3">
      <c r="C11" t="str">
        <v>SKU2</v>
      </c>
      <c r="D11" t="str">
        <v>Haircare</v>
      </c>
      <c r="E11">
        <f>_xlfn.XLOOKUP(C11,Main_Data[SKU],Main_Data[Reorder Quantity],,0)</f>
        <v>88</v>
      </c>
      <c r="F11" s="22">
        <f>E11*_xlfn.XLOOKUP(C11,Main_Data[SKU],Main_Data[Unit Cost],,0)</f>
        <v>2700.5439999999999</v>
      </c>
      <c r="G11" t="str">
        <f>_xlfn.XLOOKUP(C11,Main_Data[SKU],Main_Data[Supplier],,0)</f>
        <v>Supplier 1</v>
      </c>
    </row>
    <row r="12" spans="2:8" x14ac:dyDescent="0.3">
      <c r="C12" t="str">
        <v>SKU3</v>
      </c>
      <c r="D12" t="str">
        <v>Skincare</v>
      </c>
      <c r="E12">
        <f>_xlfn.XLOOKUP(C12,Main_Data[SKU],Main_Data[Reorder Quantity],,0)</f>
        <v>59</v>
      </c>
      <c r="F12" s="22">
        <f>E12*_xlfn.XLOOKUP(C12,Main_Data[SKU],Main_Data[Unit Cost],,0)</f>
        <v>2101.8572999999997</v>
      </c>
      <c r="G12" t="str">
        <f>_xlfn.XLOOKUP(C12,Main_Data[SKU],Main_Data[Supplier],,0)</f>
        <v>Supplier 5</v>
      </c>
    </row>
    <row r="13" spans="2:8" x14ac:dyDescent="0.3">
      <c r="C13" t="str">
        <v>SKU4</v>
      </c>
      <c r="D13" t="str">
        <v>Skincare</v>
      </c>
      <c r="E13">
        <f>_xlfn.XLOOKUP(C13,Main_Data[SKU],Main_Data[Reorder Quantity],,0)</f>
        <v>56</v>
      </c>
      <c r="F13" s="22">
        <f>E13*_xlfn.XLOOKUP(C13,Main_Data[SKU],Main_Data[Unit Cost],,0)</f>
        <v>5155.6512000000002</v>
      </c>
      <c r="G13" t="str">
        <f>_xlfn.XLOOKUP(C13,Main_Data[SKU],Main_Data[Supplier],,0)</f>
        <v>Supplier 1</v>
      </c>
    </row>
    <row r="14" spans="2:8" x14ac:dyDescent="0.3">
      <c r="C14" t="str">
        <v>SKU6</v>
      </c>
      <c r="D14" t="str">
        <v>Skincare</v>
      </c>
      <c r="E14">
        <f>_xlfn.XLOOKUP(C14,Main_Data[SKU],Main_Data[Reorder Quantity],,0)</f>
        <v>58</v>
      </c>
      <c r="F14" s="22">
        <f>E14*_xlfn.XLOOKUP(C14,Main_Data[SKU],Main_Data[Unit Cost],,0)</f>
        <v>62.9358</v>
      </c>
      <c r="G14" t="str">
        <f>_xlfn.XLOOKUP(C14,Main_Data[SKU],Main_Data[Supplier],,0)</f>
        <v>Supplier 3</v>
      </c>
    </row>
    <row r="15" spans="2:8" x14ac:dyDescent="0.3">
      <c r="C15" t="str">
        <v>SKU8</v>
      </c>
      <c r="D15" t="str">
        <v>Cosmetics</v>
      </c>
      <c r="E15">
        <f>_xlfn.XLOOKUP(C15,Main_Data[SKU],Main_Data[Reorder Quantity],,0)</f>
        <v>15</v>
      </c>
      <c r="F15" s="22">
        <f>E15*_xlfn.XLOOKUP(C15,Main_Data[SKU],Main_Data[Unit Cost],,0)</f>
        <v>171.345</v>
      </c>
      <c r="G15" t="str">
        <f>_xlfn.XLOOKUP(C15,Main_Data[SKU],Main_Data[Supplier],,0)</f>
        <v>Supplier 4</v>
      </c>
    </row>
    <row r="16" spans="2:8" x14ac:dyDescent="0.3">
      <c r="C16" t="str">
        <v>SKU9</v>
      </c>
      <c r="D16" t="str">
        <v>Skincare</v>
      </c>
      <c r="E16">
        <f>_xlfn.XLOOKUP(C16,Main_Data[SKU],Main_Data[Reorder Quantity],,0)</f>
        <v>83</v>
      </c>
      <c r="F16" s="22">
        <f>E16*_xlfn.XLOOKUP(C16,Main_Data[SKU],Main_Data[Unit Cost],,0)</f>
        <v>3980.4807999999998</v>
      </c>
      <c r="G16" t="str">
        <f>_xlfn.XLOOKUP(C16,Main_Data[SKU],Main_Data[Supplier],,0)</f>
        <v>Supplier 2</v>
      </c>
    </row>
    <row r="17" spans="3:7" x14ac:dyDescent="0.3">
      <c r="C17" t="str">
        <v>SKU10</v>
      </c>
      <c r="D17" t="str">
        <v>Skincare</v>
      </c>
      <c r="E17">
        <f>_xlfn.XLOOKUP(C17,Main_Data[SKU],Main_Data[Reorder Quantity],,0)</f>
        <v>80</v>
      </c>
      <c r="F17" s="22">
        <f>E17*_xlfn.XLOOKUP(C17,Main_Data[SKU],Main_Data[Unit Cost],,0)</f>
        <v>7722.192</v>
      </c>
      <c r="G17" t="str">
        <f>_xlfn.XLOOKUP(C17,Main_Data[SKU],Main_Data[Supplier],,0)</f>
        <v>Supplier 5</v>
      </c>
    </row>
    <row r="18" spans="3:7" x14ac:dyDescent="0.3">
      <c r="C18" t="str">
        <v>SKU11</v>
      </c>
      <c r="D18" t="str">
        <v>Skincare</v>
      </c>
      <c r="E18">
        <f>_xlfn.XLOOKUP(C18,Main_Data[SKU],Main_Data[Reorder Quantity],,0)</f>
        <v>60</v>
      </c>
      <c r="F18" s="22">
        <f>E18*_xlfn.XLOOKUP(C18,Main_Data[SKU],Main_Data[Unit Cost],,0)</f>
        <v>1655.5440000000001</v>
      </c>
      <c r="G18" t="str">
        <f>_xlfn.XLOOKUP(C18,Main_Data[SKU],Main_Data[Supplier],,0)</f>
        <v>Supplier 2</v>
      </c>
    </row>
    <row r="19" spans="3:7" x14ac:dyDescent="0.3">
      <c r="C19" t="str">
        <v>SKU14</v>
      </c>
      <c r="D19" t="str">
        <v>Skincare</v>
      </c>
      <c r="E19">
        <f>_xlfn.XLOOKUP(C19,Main_Data[SKU],Main_Data[Reorder Quantity],,0)</f>
        <v>78</v>
      </c>
      <c r="F19" s="22">
        <f>E19*_xlfn.XLOOKUP(C19,Main_Data[SKU],Main_Data[Unit Cost],,0)</f>
        <v>451.72920000000005</v>
      </c>
      <c r="G19" t="str">
        <f>_xlfn.XLOOKUP(C19,Main_Data[SKU],Main_Data[Supplier],,0)</f>
        <v>Supplier 1</v>
      </c>
    </row>
    <row r="20" spans="3:7" x14ac:dyDescent="0.3">
      <c r="C20" t="str">
        <v>SKU15</v>
      </c>
      <c r="D20" t="str">
        <v>Skincare</v>
      </c>
      <c r="E20">
        <f>_xlfn.XLOOKUP(C20,Main_Data[SKU],Main_Data[Reorder Quantity],,0)</f>
        <v>69</v>
      </c>
      <c r="F20" s="22">
        <f>E20*_xlfn.XLOOKUP(C20,Main_Data[SKU],Main_Data[Unit Cost],,0)</f>
        <v>6701.3697000000002</v>
      </c>
      <c r="G20" t="str">
        <f>_xlfn.XLOOKUP(C20,Main_Data[SKU],Main_Data[Supplier],,0)</f>
        <v>Supplier 1</v>
      </c>
    </row>
    <row r="21" spans="3:7" x14ac:dyDescent="0.3">
      <c r="C21" t="str">
        <v>SKU16</v>
      </c>
      <c r="D21" t="str">
        <v>Skincare</v>
      </c>
      <c r="E21">
        <f>_xlfn.XLOOKUP(C21,Main_Data[SKU],Main_Data[Reorder Quantity],,0)</f>
        <v>78</v>
      </c>
      <c r="F21" s="22">
        <f>E21*_xlfn.XLOOKUP(C21,Main_Data[SKU],Main_Data[Unit Cost],,0)</f>
        <v>6014.2914000000001</v>
      </c>
      <c r="G21" t="str">
        <f>_xlfn.XLOOKUP(C21,Main_Data[SKU],Main_Data[Supplier],,0)</f>
        <v>Supplier 1</v>
      </c>
    </row>
    <row r="22" spans="3:7" x14ac:dyDescent="0.3">
      <c r="C22" t="str">
        <v>SKU17</v>
      </c>
      <c r="D22" t="str">
        <v>Cosmetics</v>
      </c>
      <c r="E22">
        <f>_xlfn.XLOOKUP(C22,Main_Data[SKU],Main_Data[Reorder Quantity],,0)</f>
        <v>85</v>
      </c>
      <c r="F22" s="22">
        <f>E22*_xlfn.XLOOKUP(C22,Main_Data[SKU],Main_Data[Unit Cost],,0)</f>
        <v>4052.7744999999995</v>
      </c>
      <c r="G22" t="str">
        <f>_xlfn.XLOOKUP(C22,Main_Data[SKU],Main_Data[Supplier],,0)</f>
        <v>Supplier 1</v>
      </c>
    </row>
    <row r="23" spans="3:7" x14ac:dyDescent="0.3">
      <c r="C23" t="str">
        <v>SKU18</v>
      </c>
      <c r="D23" t="str">
        <v>Haircare</v>
      </c>
      <c r="E23">
        <f>_xlfn.XLOOKUP(C23,Main_Data[SKU],Main_Data[Reorder Quantity],,0)</f>
        <v>46</v>
      </c>
      <c r="F23" s="22">
        <f>E23*_xlfn.XLOOKUP(C23,Main_Data[SKU],Main_Data[Unit Cost],,0)</f>
        <v>1246.9680000000001</v>
      </c>
      <c r="G23" t="str">
        <f>_xlfn.XLOOKUP(C23,Main_Data[SKU],Main_Data[Supplier],,0)</f>
        <v>Supplier 2</v>
      </c>
    </row>
    <row r="24" spans="3:7" x14ac:dyDescent="0.3">
      <c r="C24" t="str">
        <v>SKU19</v>
      </c>
      <c r="D24" t="str">
        <v>Skincare</v>
      </c>
      <c r="E24">
        <f>_xlfn.XLOOKUP(C24,Main_Data[SKU],Main_Data[Reorder Quantity],,0)</f>
        <v>94</v>
      </c>
      <c r="F24" s="22">
        <f>E24*_xlfn.XLOOKUP(C24,Main_Data[SKU],Main_Data[Unit Cost],,0)</f>
        <v>7743.0901999999996</v>
      </c>
      <c r="G24" t="str">
        <f>_xlfn.XLOOKUP(C24,Main_Data[SKU],Main_Data[Supplier],,0)</f>
        <v>Supplier 4</v>
      </c>
    </row>
    <row r="25" spans="3:7" x14ac:dyDescent="0.3">
      <c r="C25" t="str">
        <v>SKU20</v>
      </c>
      <c r="D25" t="str">
        <v>Skincare</v>
      </c>
      <c r="E25">
        <f>_xlfn.XLOOKUP(C25,Main_Data[SKU],Main_Data[Reorder Quantity],,0)</f>
        <v>68</v>
      </c>
      <c r="F25" s="22">
        <f>E25*_xlfn.XLOOKUP(C25,Main_Data[SKU],Main_Data[Unit Cost],,0)</f>
        <v>4466.6684000000005</v>
      </c>
      <c r="G25" t="str">
        <f>_xlfn.XLOOKUP(C25,Main_Data[SKU],Main_Data[Supplier],,0)</f>
        <v>Supplier 1</v>
      </c>
    </row>
    <row r="26" spans="3:7" x14ac:dyDescent="0.3">
      <c r="C26" t="str">
        <v>SKU27</v>
      </c>
      <c r="D26" t="str">
        <v>Cosmetics</v>
      </c>
      <c r="E26">
        <f>_xlfn.XLOOKUP(C26,Main_Data[SKU],Main_Data[Reorder Quantity],,0)</f>
        <v>62</v>
      </c>
      <c r="F26" s="22">
        <f>E26*_xlfn.XLOOKUP(C26,Main_Data[SKU],Main_Data[Unit Cost],,0)</f>
        <v>652.74839999999995</v>
      </c>
      <c r="G26" t="str">
        <f>_xlfn.XLOOKUP(C26,Main_Data[SKU],Main_Data[Supplier],,0)</f>
        <v>Supplier 5</v>
      </c>
    </row>
    <row r="27" spans="3:7" x14ac:dyDescent="0.3">
      <c r="C27" t="str">
        <v>SKU29</v>
      </c>
      <c r="D27" t="str">
        <v>Cosmetics</v>
      </c>
      <c r="E27">
        <f>_xlfn.XLOOKUP(C27,Main_Data[SKU],Main_Data[Reorder Quantity],,0)</f>
        <v>67</v>
      </c>
      <c r="F27" s="22">
        <f>E27*_xlfn.XLOOKUP(C27,Main_Data[SKU],Main_Data[Unit Cost],,0)</f>
        <v>2632.6243000000004</v>
      </c>
      <c r="G27" t="str">
        <f>_xlfn.XLOOKUP(C27,Main_Data[SKU],Main_Data[Supplier],,0)</f>
        <v>Supplier 1</v>
      </c>
    </row>
    <row r="28" spans="3:7" x14ac:dyDescent="0.3">
      <c r="C28" t="str">
        <v>SKU31</v>
      </c>
      <c r="D28" t="str">
        <v>Skincare</v>
      </c>
      <c r="E28">
        <f>_xlfn.XLOOKUP(C28,Main_Data[SKU],Main_Data[Reorder Quantity],,0)</f>
        <v>44</v>
      </c>
      <c r="F28" s="22">
        <f>E28*_xlfn.XLOOKUP(C28,Main_Data[SKU],Main_Data[Unit Cost],,0)</f>
        <v>2651.0484000000001</v>
      </c>
      <c r="G28" t="str">
        <f>_xlfn.XLOOKUP(C28,Main_Data[SKU],Main_Data[Supplier],,0)</f>
        <v>Supplier 3</v>
      </c>
    </row>
    <row r="29" spans="3:7" x14ac:dyDescent="0.3">
      <c r="C29" t="str">
        <v>SKU33</v>
      </c>
      <c r="D29" t="str">
        <v>Cosmetics</v>
      </c>
      <c r="E29">
        <f>_xlfn.XLOOKUP(C29,Main_Data[SKU],Main_Data[Reorder Quantity],,0)</f>
        <v>95</v>
      </c>
      <c r="F29" s="22">
        <f>E29*_xlfn.XLOOKUP(C29,Main_Data[SKU],Main_Data[Unit Cost],,0)</f>
        <v>2266.0729999999999</v>
      </c>
      <c r="G29" t="str">
        <f>_xlfn.XLOOKUP(C29,Main_Data[SKU],Main_Data[Supplier],,0)</f>
        <v>Supplier 5</v>
      </c>
    </row>
    <row r="30" spans="3:7" x14ac:dyDescent="0.3">
      <c r="C30" t="str">
        <v>SKU34</v>
      </c>
      <c r="D30" t="str">
        <v>Skincare</v>
      </c>
      <c r="E30">
        <f>_xlfn.XLOOKUP(C30,Main_Data[SKU],Main_Data[Reorder Quantity],,0)</f>
        <v>21</v>
      </c>
      <c r="F30" s="22">
        <f>E30*_xlfn.XLOOKUP(C30,Main_Data[SKU],Main_Data[Unit Cost],,0)</f>
        <v>225.84030000000001</v>
      </c>
      <c r="G30" t="str">
        <f>_xlfn.XLOOKUP(C30,Main_Data[SKU],Main_Data[Supplier],,0)</f>
        <v>Supplier 1</v>
      </c>
    </row>
    <row r="31" spans="3:7" x14ac:dyDescent="0.3">
      <c r="C31" t="str">
        <v>SKU35</v>
      </c>
      <c r="D31" t="str">
        <v>Cosmetics</v>
      </c>
      <c r="E31">
        <f>_xlfn.XLOOKUP(C31,Main_Data[SKU],Main_Data[Reorder Quantity],,0)</f>
        <v>85</v>
      </c>
      <c r="F31" s="22">
        <f>E31*_xlfn.XLOOKUP(C31,Main_Data[SKU],Main_Data[Unit Cost],,0)</f>
        <v>4930.4080000000004</v>
      </c>
      <c r="G31" t="str">
        <f>_xlfn.XLOOKUP(C31,Main_Data[SKU],Main_Data[Supplier],,0)</f>
        <v>Supplier 1</v>
      </c>
    </row>
    <row r="32" spans="3:7" x14ac:dyDescent="0.3">
      <c r="C32" t="str">
        <v>SKU36</v>
      </c>
      <c r="D32" t="str">
        <v>Skincare</v>
      </c>
      <c r="E32">
        <f>_xlfn.XLOOKUP(C32,Main_Data[SKU],Main_Data[Reorder Quantity],,0)</f>
        <v>28</v>
      </c>
      <c r="F32" s="22">
        <f>E32*_xlfn.XLOOKUP(C32,Main_Data[SKU],Main_Data[Unit Cost],,0)</f>
        <v>1274.8791999999999</v>
      </c>
      <c r="G32" t="str">
        <f>_xlfn.XLOOKUP(C32,Main_Data[SKU],Main_Data[Supplier],,0)</f>
        <v>Supplier 2</v>
      </c>
    </row>
    <row r="33" spans="3:7" x14ac:dyDescent="0.3">
      <c r="C33" t="str">
        <v>SKU38</v>
      </c>
      <c r="D33" t="str">
        <v>Cosmetics</v>
      </c>
      <c r="E33">
        <f>_xlfn.XLOOKUP(C33,Main_Data[SKU],Main_Data[Reorder Quantity],,0)</f>
        <v>88</v>
      </c>
      <c r="F33" s="22">
        <f>E33*_xlfn.XLOOKUP(C33,Main_Data[SKU],Main_Data[Unit Cost],,0)</f>
        <v>521.90160000000003</v>
      </c>
      <c r="G33" t="str">
        <f>_xlfn.XLOOKUP(C33,Main_Data[SKU],Main_Data[Supplier],,0)</f>
        <v>Supplier 5</v>
      </c>
    </row>
    <row r="34" spans="3:7" x14ac:dyDescent="0.3">
      <c r="C34" t="str">
        <v>SKU42</v>
      </c>
      <c r="D34" t="str">
        <v>Skincare</v>
      </c>
      <c r="E34">
        <f>_xlfn.XLOOKUP(C34,Main_Data[SKU],Main_Data[Reorder Quantity],,0)</f>
        <v>57</v>
      </c>
      <c r="F34" s="22">
        <f>E34*_xlfn.XLOOKUP(C34,Main_Data[SKU],Main_Data[Unit Cost],,0)</f>
        <v>5496.0995999999996</v>
      </c>
      <c r="G34" t="str">
        <f>_xlfn.XLOOKUP(C34,Main_Data[SKU],Main_Data[Supplier],,0)</f>
        <v>Supplier 5</v>
      </c>
    </row>
    <row r="35" spans="3:7" x14ac:dyDescent="0.3">
      <c r="C35" t="str">
        <v>SKU43</v>
      </c>
      <c r="D35" t="str">
        <v>Haircare</v>
      </c>
      <c r="E35">
        <f>_xlfn.XLOOKUP(C35,Main_Data[SKU],Main_Data[Reorder Quantity],,0)</f>
        <v>85</v>
      </c>
      <c r="F35" s="22">
        <f>E35*_xlfn.XLOOKUP(C35,Main_Data[SKU],Main_Data[Unit Cost],,0)</f>
        <v>2233.5790000000002</v>
      </c>
      <c r="G35" t="str">
        <f>_xlfn.XLOOKUP(C35,Main_Data[SKU],Main_Data[Supplier],,0)</f>
        <v>Supplier 5</v>
      </c>
    </row>
    <row r="36" spans="3:7" x14ac:dyDescent="0.3">
      <c r="C36" t="str">
        <v>SKU44</v>
      </c>
      <c r="D36" t="str">
        <v>Cosmetics</v>
      </c>
      <c r="E36">
        <f>_xlfn.XLOOKUP(C36,Main_Data[SKU],Main_Data[Reorder Quantity],,0)</f>
        <v>72</v>
      </c>
      <c r="F36" s="22">
        <f>E36*_xlfn.XLOOKUP(C36,Main_Data[SKU],Main_Data[Unit Cost],,0)</f>
        <v>1623.8951999999999</v>
      </c>
      <c r="G36" t="str">
        <f>_xlfn.XLOOKUP(C36,Main_Data[SKU],Main_Data[Supplier],,0)</f>
        <v>Supplier 2</v>
      </c>
    </row>
    <row r="37" spans="3:7" x14ac:dyDescent="0.3">
      <c r="C37" t="str">
        <v>SKU47</v>
      </c>
      <c r="D37" t="str">
        <v>Skincare</v>
      </c>
      <c r="E37">
        <f>_xlfn.XLOOKUP(C37,Main_Data[SKU],Main_Data[Reorder Quantity],,0)</f>
        <v>51</v>
      </c>
      <c r="F37" s="22">
        <f>E37*_xlfn.XLOOKUP(C37,Main_Data[SKU],Main_Data[Unit Cost],,0)</f>
        <v>1005.3630000000001</v>
      </c>
      <c r="G37" t="str">
        <f>_xlfn.XLOOKUP(C37,Main_Data[SKU],Main_Data[Supplier],,0)</f>
        <v>Supplier 1</v>
      </c>
    </row>
    <row r="38" spans="3:7" x14ac:dyDescent="0.3">
      <c r="C38" t="str">
        <v>SKU50</v>
      </c>
      <c r="D38" t="str">
        <v>Cosmetics</v>
      </c>
      <c r="E38">
        <f>_xlfn.XLOOKUP(C38,Main_Data[SKU],Main_Data[Reorder Quantity],,0)</f>
        <v>82</v>
      </c>
      <c r="F38" s="22">
        <f>E38*_xlfn.XLOOKUP(C38,Main_Data[SKU],Main_Data[Unit Cost],,0)</f>
        <v>3704.6616000000004</v>
      </c>
      <c r="G38" t="str">
        <f>_xlfn.XLOOKUP(C38,Main_Data[SKU],Main_Data[Supplier],,0)</f>
        <v>Supplier 2</v>
      </c>
    </row>
    <row r="39" spans="3:7" x14ac:dyDescent="0.3">
      <c r="C39" t="str">
        <v>SKU54</v>
      </c>
      <c r="D39" t="str">
        <v>Haircare</v>
      </c>
      <c r="E39">
        <f>_xlfn.XLOOKUP(C39,Main_Data[SKU],Main_Data[Reorder Quantity],,0)</f>
        <v>61</v>
      </c>
      <c r="F39" s="22">
        <f>E39*_xlfn.XLOOKUP(C39,Main_Data[SKU],Main_Data[Unit Cost],,0)</f>
        <v>1841.346</v>
      </c>
      <c r="G39" t="str">
        <f>_xlfn.XLOOKUP(C39,Main_Data[SKU],Main_Data[Supplier],,0)</f>
        <v>Supplier 1</v>
      </c>
    </row>
    <row r="40" spans="3:7" x14ac:dyDescent="0.3">
      <c r="C40" t="str">
        <v>SKU56</v>
      </c>
      <c r="D40" t="str">
        <v>Skincare</v>
      </c>
      <c r="E40">
        <f>_xlfn.XLOOKUP(C40,Main_Data[SKU],Main_Data[Reorder Quantity],,0)</f>
        <v>83</v>
      </c>
      <c r="F40" s="22">
        <f>E40*_xlfn.XLOOKUP(C40,Main_Data[SKU],Main_Data[Unit Cost],,0)</f>
        <v>1065.4129</v>
      </c>
      <c r="G40" t="str">
        <f>_xlfn.XLOOKUP(C40,Main_Data[SKU],Main_Data[Supplier],,0)</f>
        <v>Supplier 1</v>
      </c>
    </row>
    <row r="41" spans="3:7" x14ac:dyDescent="0.3">
      <c r="C41" t="str">
        <v>SKU57</v>
      </c>
      <c r="D41" t="str">
        <v>Haircare</v>
      </c>
      <c r="E41">
        <f>_xlfn.XLOOKUP(C41,Main_Data[SKU],Main_Data[Reorder Quantity],,0)</f>
        <v>51</v>
      </c>
      <c r="F41" s="22">
        <f>E41*_xlfn.XLOOKUP(C41,Main_Data[SKU],Main_Data[Unit Cost],,0)</f>
        <v>3456.7596000000003</v>
      </c>
      <c r="G41" t="str">
        <f>_xlfn.XLOOKUP(C41,Main_Data[SKU],Main_Data[Supplier],,0)</f>
        <v>Supplier 2</v>
      </c>
    </row>
    <row r="42" spans="3:7" x14ac:dyDescent="0.3">
      <c r="C42" t="str">
        <v>SKU58</v>
      </c>
      <c r="D42" t="str">
        <v>Skincare</v>
      </c>
      <c r="E42">
        <f>_xlfn.XLOOKUP(C42,Main_Data[SKU],Main_Data[Reorder Quantity],,0)</f>
        <v>44</v>
      </c>
      <c r="F42" s="22">
        <f>E42*_xlfn.XLOOKUP(C42,Main_Data[SKU],Main_Data[Unit Cost],,0)</f>
        <v>2862.0855999999999</v>
      </c>
      <c r="G42" t="str">
        <f>_xlfn.XLOOKUP(C42,Main_Data[SKU],Main_Data[Supplier],,0)</f>
        <v>Supplier 3</v>
      </c>
    </row>
    <row r="43" spans="3:7" x14ac:dyDescent="0.3">
      <c r="C43" t="str">
        <v>SKU60</v>
      </c>
      <c r="D43" t="str">
        <v>Skincare</v>
      </c>
      <c r="E43">
        <f>_xlfn.XLOOKUP(C43,Main_Data[SKU],Main_Data[Reorder Quantity],,0)</f>
        <v>72</v>
      </c>
      <c r="F43" s="22">
        <f>E43*_xlfn.XLOOKUP(C43,Main_Data[SKU],Main_Data[Unit Cost],,0)</f>
        <v>6279.3431999999993</v>
      </c>
      <c r="G43" t="str">
        <f>_xlfn.XLOOKUP(C43,Main_Data[SKU],Main_Data[Supplier],,0)</f>
        <v>Supplier 4</v>
      </c>
    </row>
    <row r="44" spans="3:7" x14ac:dyDescent="0.3">
      <c r="C44" t="str">
        <v>SKU61</v>
      </c>
      <c r="D44" t="str">
        <v>Haircare</v>
      </c>
      <c r="E44">
        <f>_xlfn.XLOOKUP(C44,Main_Data[SKU],Main_Data[Reorder Quantity],,0)</f>
        <v>36</v>
      </c>
      <c r="F44" s="22">
        <f>E44*_xlfn.XLOOKUP(C44,Main_Data[SKU],Main_Data[Unit Cost],,0)</f>
        <v>2833.2864</v>
      </c>
      <c r="G44" t="str">
        <f>_xlfn.XLOOKUP(C44,Main_Data[SKU],Main_Data[Supplier],,0)</f>
        <v>Supplier 4</v>
      </c>
    </row>
    <row r="45" spans="3:7" x14ac:dyDescent="0.3">
      <c r="C45" t="str">
        <v>SKU64</v>
      </c>
      <c r="D45" t="str">
        <v>Skincare</v>
      </c>
      <c r="E45">
        <f>_xlfn.XLOOKUP(C45,Main_Data[SKU],Main_Data[Reorder Quantity],,0)</f>
        <v>75</v>
      </c>
      <c r="F45" s="22">
        <f>E45*_xlfn.XLOOKUP(C45,Main_Data[SKU],Main_Data[Unit Cost],,0)</f>
        <v>651.97500000000002</v>
      </c>
      <c r="G45" t="str">
        <f>_xlfn.XLOOKUP(C45,Main_Data[SKU],Main_Data[Supplier],,0)</f>
        <v>Supplier 1</v>
      </c>
    </row>
    <row r="46" spans="3:7" x14ac:dyDescent="0.3">
      <c r="C46" t="str">
        <v>SKU66</v>
      </c>
      <c r="D46" t="str">
        <v>Skincare</v>
      </c>
      <c r="E46">
        <f>_xlfn.XLOOKUP(C46,Main_Data[SKU],Main_Data[Reorder Quantity],,0)</f>
        <v>19</v>
      </c>
      <c r="F46" s="22">
        <f>E46*_xlfn.XLOOKUP(C46,Main_Data[SKU],Main_Data[Unit Cost],,0)</f>
        <v>799.60360000000003</v>
      </c>
      <c r="G46" t="str">
        <f>_xlfn.XLOOKUP(C46,Main_Data[SKU],Main_Data[Supplier],,0)</f>
        <v>Supplier 5</v>
      </c>
    </row>
    <row r="47" spans="3:7" x14ac:dyDescent="0.3">
      <c r="C47" t="str">
        <v>SKU67</v>
      </c>
      <c r="D47" t="str">
        <v>Skincare</v>
      </c>
      <c r="E47">
        <f>_xlfn.XLOOKUP(C47,Main_Data[SKU],Main_Data[Reorder Quantity],,0)</f>
        <v>71</v>
      </c>
      <c r="F47" s="22">
        <f>E47*_xlfn.XLOOKUP(C47,Main_Data[SKU],Main_Data[Unit Cost],,0)</f>
        <v>501.11090000000002</v>
      </c>
      <c r="G47" t="str">
        <f>_xlfn.XLOOKUP(C47,Main_Data[SKU],Main_Data[Supplier],,0)</f>
        <v>Supplier 1</v>
      </c>
    </row>
    <row r="48" spans="3:7" x14ac:dyDescent="0.3">
      <c r="C48" t="str">
        <v>SKU68</v>
      </c>
      <c r="D48" t="str">
        <v>Haircare</v>
      </c>
      <c r="E48">
        <f>_xlfn.XLOOKUP(C48,Main_Data[SKU],Main_Data[Reorder Quantity],,0)</f>
        <v>58</v>
      </c>
      <c r="F48" s="22">
        <f>E48*_xlfn.XLOOKUP(C48,Main_Data[SKU],Main_Data[Unit Cost],,0)</f>
        <v>5632.5888000000004</v>
      </c>
      <c r="G48" t="str">
        <f>_xlfn.XLOOKUP(C48,Main_Data[SKU],Main_Data[Supplier],,0)</f>
        <v>Supplier 2</v>
      </c>
    </row>
    <row r="49" spans="3:7" x14ac:dyDescent="0.3">
      <c r="C49" t="str">
        <v>SKU70</v>
      </c>
      <c r="D49" t="str">
        <v>Haircare</v>
      </c>
      <c r="E49">
        <f>_xlfn.XLOOKUP(C49,Main_Data[SKU],Main_Data[Reorder Quantity],,0)</f>
        <v>22</v>
      </c>
      <c r="F49" s="22">
        <f>E49*_xlfn.XLOOKUP(C49,Main_Data[SKU],Main_Data[Unit Cost],,0)</f>
        <v>251.69759999999999</v>
      </c>
      <c r="G49" t="str">
        <f>_xlfn.XLOOKUP(C49,Main_Data[SKU],Main_Data[Supplier],,0)</f>
        <v>Supplier 1</v>
      </c>
    </row>
    <row r="50" spans="3:7" x14ac:dyDescent="0.3">
      <c r="C50" t="str">
        <v>SKU72</v>
      </c>
      <c r="D50" t="str">
        <v>Cosmetics</v>
      </c>
      <c r="E50">
        <f>_xlfn.XLOOKUP(C50,Main_Data[SKU],Main_Data[Reorder Quantity],,0)</f>
        <v>77</v>
      </c>
      <c r="F50" s="22">
        <f>E50*_xlfn.XLOOKUP(C50,Main_Data[SKU],Main_Data[Unit Cost],,0)</f>
        <v>4293.5585000000001</v>
      </c>
      <c r="G50" t="str">
        <f>_xlfn.XLOOKUP(C50,Main_Data[SKU],Main_Data[Supplier],,0)</f>
        <v>Supplier 1</v>
      </c>
    </row>
    <row r="51" spans="3:7" x14ac:dyDescent="0.3">
      <c r="C51" t="str">
        <v>SKU73</v>
      </c>
      <c r="D51" t="str">
        <v>Cosmetics</v>
      </c>
      <c r="E51">
        <f>_xlfn.XLOOKUP(C51,Main_Data[SKU],Main_Data[Reorder Quantity],,0)</f>
        <v>66</v>
      </c>
      <c r="F51" s="22">
        <f>E51*_xlfn.XLOOKUP(C51,Main_Data[SKU],Main_Data[Unit Cost],,0)</f>
        <v>3093.4331999999999</v>
      </c>
      <c r="G51" t="str">
        <f>_xlfn.XLOOKUP(C51,Main_Data[SKU],Main_Data[Supplier],,0)</f>
        <v>Supplier 4</v>
      </c>
    </row>
    <row r="52" spans="3:7" x14ac:dyDescent="0.3">
      <c r="C52" t="str">
        <v>SKU75</v>
      </c>
      <c r="D52" t="str">
        <v>Skincare</v>
      </c>
      <c r="E52">
        <f>_xlfn.XLOOKUP(C52,Main_Data[SKU],Main_Data[Reorder Quantity],,0)</f>
        <v>56</v>
      </c>
      <c r="F52" s="22">
        <f>E52*_xlfn.XLOOKUP(C52,Main_Data[SKU],Main_Data[Unit Cost],,0)</f>
        <v>2691.6288</v>
      </c>
      <c r="G52" t="str">
        <f>_xlfn.XLOOKUP(C52,Main_Data[SKU],Main_Data[Supplier],,0)</f>
        <v>Supplier 1</v>
      </c>
    </row>
    <row r="53" spans="3:7" x14ac:dyDescent="0.3">
      <c r="C53" t="str">
        <v>SKU78</v>
      </c>
      <c r="D53" t="str">
        <v>Haircare</v>
      </c>
      <c r="E53">
        <f>_xlfn.XLOOKUP(C53,Main_Data[SKU],Main_Data[Reorder Quantity],,0)</f>
        <v>51</v>
      </c>
      <c r="F53" s="22">
        <f>E53*_xlfn.XLOOKUP(C53,Main_Data[SKU],Main_Data[Unit Cost],,0)</f>
        <v>3627.4514999999997</v>
      </c>
      <c r="G53" t="str">
        <f>_xlfn.XLOOKUP(C53,Main_Data[SKU],Main_Data[Supplier],,0)</f>
        <v>Supplier 5</v>
      </c>
    </row>
    <row r="54" spans="3:7" x14ac:dyDescent="0.3">
      <c r="C54" t="str">
        <v>SKU80</v>
      </c>
      <c r="D54" t="str">
        <v>Skincare</v>
      </c>
      <c r="E54">
        <f>_xlfn.XLOOKUP(C54,Main_Data[SKU],Main_Data[Reorder Quantity],,0)</f>
        <v>41</v>
      </c>
      <c r="F54" s="22">
        <f>E54*_xlfn.XLOOKUP(C54,Main_Data[SKU],Main_Data[Unit Cost],,0)</f>
        <v>3155.4092000000001</v>
      </c>
      <c r="G54" t="str">
        <f>_xlfn.XLOOKUP(C54,Main_Data[SKU],Main_Data[Supplier],,0)</f>
        <v>Supplier 3</v>
      </c>
    </row>
    <row r="55" spans="3:7" x14ac:dyDescent="0.3">
      <c r="C55" t="str">
        <v>SKU82</v>
      </c>
      <c r="D55" t="str">
        <v>Skincare</v>
      </c>
      <c r="E55">
        <f>_xlfn.XLOOKUP(C55,Main_Data[SKU],Main_Data[Reorder Quantity],,0)</f>
        <v>72</v>
      </c>
      <c r="F55" s="22">
        <f>E55*_xlfn.XLOOKUP(C55,Main_Data[SKU],Main_Data[Unit Cost],,0)</f>
        <v>321.5016</v>
      </c>
      <c r="G55" t="str">
        <f>_xlfn.XLOOKUP(C55,Main_Data[SKU],Main_Data[Supplier],,0)</f>
        <v>Supplier 2</v>
      </c>
    </row>
    <row r="56" spans="3:7" x14ac:dyDescent="0.3">
      <c r="C56" t="str">
        <v>SKU84</v>
      </c>
      <c r="D56" t="str">
        <v>Haircare</v>
      </c>
      <c r="E56">
        <f>_xlfn.XLOOKUP(C56,Main_Data[SKU],Main_Data[Reorder Quantity],,0)</f>
        <v>80</v>
      </c>
      <c r="F56" s="22">
        <f>E56*_xlfn.XLOOKUP(C56,Main_Data[SKU],Main_Data[Unit Cost],,0)</f>
        <v>2704.6880000000001</v>
      </c>
      <c r="G56" t="str">
        <f>_xlfn.XLOOKUP(C56,Main_Data[SKU],Main_Data[Supplier],,0)</f>
        <v>Supplier 5</v>
      </c>
    </row>
    <row r="57" spans="3:7" x14ac:dyDescent="0.3">
      <c r="C57" t="str">
        <v>SKU85</v>
      </c>
      <c r="D57" t="str">
        <v>Cosmetics</v>
      </c>
      <c r="E57">
        <f>_xlfn.XLOOKUP(C57,Main_Data[SKU],Main_Data[Reorder Quantity],,0)</f>
        <v>66</v>
      </c>
      <c r="F57" s="22">
        <f>E57*_xlfn.XLOOKUP(C57,Main_Data[SKU],Main_Data[Unit Cost],,0)</f>
        <v>4615.3337999999994</v>
      </c>
      <c r="G57" t="str">
        <f>_xlfn.XLOOKUP(C57,Main_Data[SKU],Main_Data[Supplier],,0)</f>
        <v>Supplier 5</v>
      </c>
    </row>
    <row r="58" spans="3:7" x14ac:dyDescent="0.3">
      <c r="C58" t="str">
        <v>SKU87</v>
      </c>
      <c r="D58" t="str">
        <v>Haircare</v>
      </c>
      <c r="E58">
        <f>_xlfn.XLOOKUP(C58,Main_Data[SKU],Main_Data[Reorder Quantity],,0)</f>
        <v>55</v>
      </c>
      <c r="F58" s="22">
        <f>E58*_xlfn.XLOOKUP(C58,Main_Data[SKU],Main_Data[Unit Cost],,0)</f>
        <v>1578.335</v>
      </c>
      <c r="G58" t="str">
        <f>_xlfn.XLOOKUP(C58,Main_Data[SKU],Main_Data[Supplier],,0)</f>
        <v>Supplier 3</v>
      </c>
    </row>
    <row r="59" spans="3:7" x14ac:dyDescent="0.3">
      <c r="C59" t="str">
        <v>SKU88</v>
      </c>
      <c r="D59" t="str">
        <v>Cosmetics</v>
      </c>
      <c r="E59">
        <f>_xlfn.XLOOKUP(C59,Main_Data[SKU],Main_Data[Reorder Quantity],,0)</f>
        <v>85</v>
      </c>
      <c r="F59" s="22">
        <f>E59*_xlfn.XLOOKUP(C59,Main_Data[SKU],Main_Data[Unit Cost],,0)</f>
        <v>5795.7164999999995</v>
      </c>
      <c r="G59" t="str">
        <f>_xlfn.XLOOKUP(C59,Main_Data[SKU],Main_Data[Supplier],,0)</f>
        <v>Supplier 2</v>
      </c>
    </row>
    <row r="60" spans="3:7" x14ac:dyDescent="0.3">
      <c r="C60" t="str">
        <v>SKU90</v>
      </c>
      <c r="D60" t="str">
        <v>Skincare</v>
      </c>
      <c r="E60">
        <f>_xlfn.XLOOKUP(C60,Main_Data[SKU],Main_Data[Reorder Quantity],,0)</f>
        <v>96</v>
      </c>
      <c r="F60" s="22">
        <f>E60*_xlfn.XLOOKUP(C60,Main_Data[SKU],Main_Data[Unit Cost],,0)</f>
        <v>8224.8960000000006</v>
      </c>
      <c r="G60" t="str">
        <f>_xlfn.XLOOKUP(C60,Main_Data[SKU],Main_Data[Supplier],,0)</f>
        <v>Supplier 3</v>
      </c>
    </row>
    <row r="61" spans="3:7" x14ac:dyDescent="0.3">
      <c r="C61" t="str">
        <v>SKU93</v>
      </c>
      <c r="D61" t="str">
        <v>Haircare</v>
      </c>
      <c r="E61">
        <f>_xlfn.XLOOKUP(C61,Main_Data[SKU],Main_Data[Reorder Quantity],,0)</f>
        <v>66</v>
      </c>
      <c r="F61" s="22">
        <f>E61*_xlfn.XLOOKUP(C61,Main_Data[SKU],Main_Data[Unit Cost],,0)</f>
        <v>2351.8242</v>
      </c>
      <c r="G61" t="str">
        <f>_xlfn.XLOOKUP(C61,Main_Data[SKU],Main_Data[Supplier],,0)</f>
        <v>Supplier 4</v>
      </c>
    </row>
    <row r="62" spans="3:7" x14ac:dyDescent="0.3">
      <c r="C62" t="str">
        <v>SKU95</v>
      </c>
      <c r="D62" t="str">
        <v>Haircare</v>
      </c>
      <c r="E62">
        <f>_xlfn.XLOOKUP(C62,Main_Data[SKU],Main_Data[Reorder Quantity],,0)</f>
        <v>26</v>
      </c>
      <c r="F62" s="22">
        <f>E62*_xlfn.XLOOKUP(C62,Main_Data[SKU],Main_Data[Unit Cost],,0)</f>
        <v>1531.1582000000001</v>
      </c>
      <c r="G62" t="str">
        <f>_xlfn.XLOOKUP(C62,Main_Data[SKU],Main_Data[Supplier],,0)</f>
        <v>Supplier 4</v>
      </c>
    </row>
    <row r="63" spans="3:7" x14ac:dyDescent="0.3">
      <c r="C63" t="str">
        <v>SKU99</v>
      </c>
      <c r="D63" t="str">
        <v>Haircare</v>
      </c>
      <c r="E63">
        <f>_xlfn.XLOOKUP(C63,Main_Data[SKU],Main_Data[Reorder Quantity],,0)</f>
        <v>59</v>
      </c>
      <c r="F63" s="22">
        <f>E63*_xlfn.XLOOKUP(C63,Main_Data[SKU],Main_Data[Unit Cost],,0)</f>
        <v>2246.3010999999997</v>
      </c>
      <c r="G63" t="str">
        <f>_xlfn.XLOOKUP(C63,Main_Data[SKU],Main_Data[Supplier],,0)</f>
        <v>Supplier 2</v>
      </c>
    </row>
  </sheetData>
  <mergeCells count="1">
    <mergeCell ref="B2:H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C2DE8-66EE-40B0-A02F-8DA32FE27AA7}">
  <dimension ref="B1:M4"/>
  <sheetViews>
    <sheetView workbookViewId="0">
      <selection activeCell="B2" sqref="B2"/>
    </sheetView>
  </sheetViews>
  <sheetFormatPr defaultRowHeight="14.4" x14ac:dyDescent="0.3"/>
  <cols>
    <col min="2" max="2" width="24.44140625" bestFit="1" customWidth="1"/>
    <col min="4" max="4" width="18.5546875" bestFit="1" customWidth="1"/>
    <col min="5" max="5" width="7.6640625" customWidth="1"/>
    <col min="6" max="6" width="22.88671875" bestFit="1" customWidth="1"/>
    <col min="7" max="7" width="3" hidden="1" customWidth="1"/>
    <col min="8" max="8" width="20.21875" hidden="1" customWidth="1"/>
    <col min="9" max="9" width="9.6640625" customWidth="1"/>
    <col min="10" max="10" width="11.5546875" bestFit="1" customWidth="1"/>
    <col min="12" max="12" width="20.6640625" bestFit="1" customWidth="1"/>
    <col min="13" max="13" width="9.6640625" bestFit="1" customWidth="1"/>
    <col min="14" max="14" width="16" bestFit="1" customWidth="1"/>
  </cols>
  <sheetData>
    <row r="1" spans="2:13" x14ac:dyDescent="0.3">
      <c r="L1" s="5" t="s">
        <v>124</v>
      </c>
      <c r="M1" t="s" vm="1">
        <v>150</v>
      </c>
    </row>
    <row r="2" spans="2:13" x14ac:dyDescent="0.3">
      <c r="B2" t="s">
        <v>143</v>
      </c>
      <c r="D2" t="s">
        <v>151</v>
      </c>
      <c r="F2" t="s">
        <v>146</v>
      </c>
      <c r="J2" t="s">
        <v>147</v>
      </c>
    </row>
    <row r="3" spans="2:13" x14ac:dyDescent="0.3">
      <c r="B3" s="7">
        <v>228785.20159999997</v>
      </c>
      <c r="D3">
        <v>4777</v>
      </c>
      <c r="F3" s="18">
        <v>15.96</v>
      </c>
      <c r="J3">
        <v>100</v>
      </c>
      <c r="L3" t="s">
        <v>155</v>
      </c>
    </row>
    <row r="4" spans="2:13" x14ac:dyDescent="0.3">
      <c r="L4">
        <v>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4C597-0D63-4B9E-8FC9-943350DF4487}">
  <dimension ref="B3:C7"/>
  <sheetViews>
    <sheetView workbookViewId="0">
      <selection activeCell="G4" sqref="G4"/>
    </sheetView>
  </sheetViews>
  <sheetFormatPr defaultRowHeight="14.4" x14ac:dyDescent="0.3"/>
  <cols>
    <col min="2" max="2" width="12.44140625" bestFit="1" customWidth="1"/>
    <col min="3" max="3" width="24.44140625" bestFit="1" customWidth="1"/>
  </cols>
  <sheetData>
    <row r="3" spans="2:3" x14ac:dyDescent="0.3">
      <c r="B3" s="5" t="s">
        <v>144</v>
      </c>
      <c r="C3" t="s">
        <v>143</v>
      </c>
    </row>
    <row r="4" spans="2:3" x14ac:dyDescent="0.3">
      <c r="B4" s="6" t="s">
        <v>28</v>
      </c>
      <c r="C4" s="7">
        <v>68134.232200000013</v>
      </c>
    </row>
    <row r="5" spans="2:3" x14ac:dyDescent="0.3">
      <c r="B5" s="6" t="s">
        <v>11</v>
      </c>
      <c r="C5" s="7">
        <v>78938.071599999996</v>
      </c>
    </row>
    <row r="6" spans="2:3" x14ac:dyDescent="0.3">
      <c r="B6" s="6" t="s">
        <v>15</v>
      </c>
      <c r="C6" s="7">
        <v>81712.897799999992</v>
      </c>
    </row>
    <row r="7" spans="2:3" x14ac:dyDescent="0.3">
      <c r="B7" s="6" t="s">
        <v>128</v>
      </c>
      <c r="C7" s="7">
        <v>228785.20159999997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94A09-3235-4A5B-B1B5-A4CCD1E0F496}">
  <dimension ref="B3:C14"/>
  <sheetViews>
    <sheetView workbookViewId="0">
      <selection activeCell="C4" sqref="C4:C14"/>
    </sheetView>
  </sheetViews>
  <sheetFormatPr defaultRowHeight="14.4" x14ac:dyDescent="0.3"/>
  <cols>
    <col min="2" max="2" width="12.44140625" bestFit="1" customWidth="1"/>
    <col min="3" max="3" width="20.109375" bestFit="1" customWidth="1"/>
  </cols>
  <sheetData>
    <row r="3" spans="2:3" x14ac:dyDescent="0.3">
      <c r="B3" s="5" t="s">
        <v>144</v>
      </c>
      <c r="C3" t="s">
        <v>145</v>
      </c>
    </row>
    <row r="4" spans="2:3" x14ac:dyDescent="0.3">
      <c r="B4" s="6" t="s">
        <v>114</v>
      </c>
      <c r="C4" s="19">
        <v>916</v>
      </c>
    </row>
    <row r="5" spans="2:3" x14ac:dyDescent="0.3">
      <c r="B5" s="6" t="s">
        <v>67</v>
      </c>
      <c r="C5" s="19">
        <v>919</v>
      </c>
    </row>
    <row r="6" spans="2:3" x14ac:dyDescent="0.3">
      <c r="B6" s="6" t="s">
        <v>63</v>
      </c>
      <c r="C6" s="19">
        <v>933</v>
      </c>
    </row>
    <row r="7" spans="2:3" x14ac:dyDescent="0.3">
      <c r="B7" s="6" t="s">
        <v>101</v>
      </c>
      <c r="C7" s="19">
        <v>946</v>
      </c>
    </row>
    <row r="8" spans="2:3" x14ac:dyDescent="0.3">
      <c r="B8" s="6" t="s">
        <v>34</v>
      </c>
      <c r="C8" s="19">
        <v>960</v>
      </c>
    </row>
    <row r="9" spans="2:3" x14ac:dyDescent="0.3">
      <c r="B9" s="6" t="s">
        <v>60</v>
      </c>
      <c r="C9" s="19">
        <v>963</v>
      </c>
    </row>
    <row r="10" spans="2:3" x14ac:dyDescent="0.3">
      <c r="B10" s="6" t="s">
        <v>59</v>
      </c>
      <c r="C10" s="19">
        <v>963</v>
      </c>
    </row>
    <row r="11" spans="2:3" x14ac:dyDescent="0.3">
      <c r="B11" s="6" t="s">
        <v>30</v>
      </c>
      <c r="C11" s="19">
        <v>980</v>
      </c>
    </row>
    <row r="12" spans="2:3" x14ac:dyDescent="0.3">
      <c r="B12" s="6" t="s">
        <v>117</v>
      </c>
      <c r="C12" s="19">
        <v>987</v>
      </c>
    </row>
    <row r="13" spans="2:3" x14ac:dyDescent="0.3">
      <c r="B13" s="6" t="s">
        <v>33</v>
      </c>
      <c r="C13" s="19">
        <v>996</v>
      </c>
    </row>
    <row r="14" spans="2:3" x14ac:dyDescent="0.3">
      <c r="B14" s="6" t="s">
        <v>128</v>
      </c>
      <c r="C14" s="19">
        <v>9563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DC67C-0E57-426F-B581-2E4C691E2EFD}">
  <dimension ref="B3:D9"/>
  <sheetViews>
    <sheetView workbookViewId="0">
      <selection activeCell="D13" sqref="D13"/>
    </sheetView>
  </sheetViews>
  <sheetFormatPr defaultRowHeight="14.4" x14ac:dyDescent="0.3"/>
  <cols>
    <col min="2" max="2" width="12.44140625" bestFit="1" customWidth="1"/>
    <col min="3" max="3" width="22.88671875" bestFit="1" customWidth="1"/>
    <col min="4" max="4" width="11.5546875" bestFit="1" customWidth="1"/>
  </cols>
  <sheetData>
    <row r="3" spans="2:4" x14ac:dyDescent="0.3">
      <c r="B3" s="5" t="s">
        <v>144</v>
      </c>
      <c r="C3" t="s">
        <v>146</v>
      </c>
      <c r="D3" t="s">
        <v>147</v>
      </c>
    </row>
    <row r="4" spans="2:4" x14ac:dyDescent="0.3">
      <c r="B4" s="6" t="s">
        <v>17</v>
      </c>
      <c r="C4" s="18">
        <v>16.777777777777779</v>
      </c>
      <c r="D4">
        <v>27</v>
      </c>
    </row>
    <row r="5" spans="2:4" x14ac:dyDescent="0.3">
      <c r="B5" s="6" t="s">
        <v>32</v>
      </c>
      <c r="C5" s="18">
        <v>16.227272727272727</v>
      </c>
      <c r="D5">
        <v>22</v>
      </c>
    </row>
    <row r="6" spans="2:4" x14ac:dyDescent="0.3">
      <c r="B6" s="6" t="s">
        <v>13</v>
      </c>
      <c r="C6" s="18">
        <v>14.333333333333334</v>
      </c>
      <c r="D6">
        <v>15</v>
      </c>
    </row>
    <row r="7" spans="2:4" x14ac:dyDescent="0.3">
      <c r="B7" s="6" t="s">
        <v>25</v>
      </c>
      <c r="C7" s="18">
        <v>17</v>
      </c>
      <c r="D7">
        <v>18</v>
      </c>
    </row>
    <row r="8" spans="2:4" x14ac:dyDescent="0.3">
      <c r="B8" s="6" t="s">
        <v>20</v>
      </c>
      <c r="C8" s="18">
        <v>14.722222222222221</v>
      </c>
      <c r="D8">
        <v>18</v>
      </c>
    </row>
    <row r="9" spans="2:4" x14ac:dyDescent="0.3">
      <c r="B9" s="6" t="s">
        <v>128</v>
      </c>
      <c r="C9" s="18">
        <v>15.96</v>
      </c>
      <c r="D9">
        <v>100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68B85-3558-44F2-A19A-252AB52369BD}">
  <dimension ref="B3:C6"/>
  <sheetViews>
    <sheetView workbookViewId="0">
      <selection activeCell="C3" sqref="C3"/>
    </sheetView>
  </sheetViews>
  <sheetFormatPr defaultRowHeight="14.4" x14ac:dyDescent="0.3"/>
  <cols>
    <col min="2" max="2" width="12.44140625" bestFit="1" customWidth="1"/>
    <col min="3" max="3" width="11.5546875" bestFit="1" customWidth="1"/>
  </cols>
  <sheetData>
    <row r="3" spans="2:3" x14ac:dyDescent="0.3">
      <c r="B3" s="5" t="s">
        <v>144</v>
      </c>
      <c r="C3" t="s">
        <v>147</v>
      </c>
    </row>
    <row r="4" spans="2:3" x14ac:dyDescent="0.3">
      <c r="B4" s="6" t="s">
        <v>149</v>
      </c>
      <c r="C4">
        <v>44</v>
      </c>
    </row>
    <row r="5" spans="2:3" x14ac:dyDescent="0.3">
      <c r="B5" s="6" t="s">
        <v>148</v>
      </c>
      <c r="C5">
        <v>56</v>
      </c>
    </row>
    <row r="6" spans="2:3" x14ac:dyDescent="0.3">
      <c r="B6" s="6" t="s">
        <v>128</v>
      </c>
      <c r="C6">
        <v>100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BA57C-4C23-45A7-A840-2D7EE1D1B8C9}">
  <dimension ref="B1:H57"/>
  <sheetViews>
    <sheetView workbookViewId="0">
      <selection activeCell="Y35" sqref="Y35"/>
    </sheetView>
  </sheetViews>
  <sheetFormatPr defaultRowHeight="14.4" x14ac:dyDescent="0.3"/>
  <cols>
    <col min="2" max="2" width="15.109375" bestFit="1" customWidth="1"/>
    <col min="3" max="3" width="18.5546875" bestFit="1" customWidth="1"/>
    <col min="4" max="4" width="21.33203125" bestFit="1" customWidth="1"/>
    <col min="5" max="5" width="20.109375" bestFit="1" customWidth="1"/>
    <col min="6" max="6" width="12.6640625" bestFit="1" customWidth="1"/>
    <col min="7" max="7" width="15.109375" bestFit="1" customWidth="1"/>
    <col min="8" max="8" width="15.21875" bestFit="1" customWidth="1"/>
  </cols>
  <sheetData>
    <row r="1" spans="2:8" x14ac:dyDescent="0.3">
      <c r="B1" s="5" t="s">
        <v>124</v>
      </c>
      <c r="C1" t="s" vm="1">
        <v>150</v>
      </c>
    </row>
    <row r="3" spans="2:8" x14ac:dyDescent="0.3">
      <c r="B3" s="5" t="s">
        <v>0</v>
      </c>
      <c r="C3" s="5" t="s">
        <v>1</v>
      </c>
      <c r="D3" s="5" t="s">
        <v>6</v>
      </c>
      <c r="E3" s="5" t="s">
        <v>3</v>
      </c>
      <c r="F3" t="s">
        <v>152</v>
      </c>
      <c r="G3" t="s">
        <v>4</v>
      </c>
      <c r="H3" t="s">
        <v>153</v>
      </c>
    </row>
    <row r="4" spans="2:8" x14ac:dyDescent="0.3">
      <c r="B4" t="s">
        <v>10</v>
      </c>
      <c r="C4" t="s">
        <v>11</v>
      </c>
      <c r="D4" t="s">
        <v>13</v>
      </c>
      <c r="E4" t="s">
        <v>12</v>
      </c>
      <c r="F4">
        <v>58</v>
      </c>
      <c r="G4">
        <v>96</v>
      </c>
      <c r="H4">
        <v>7</v>
      </c>
    </row>
    <row r="5" spans="2:8" x14ac:dyDescent="0.3">
      <c r="B5" t="s">
        <v>33</v>
      </c>
      <c r="C5" t="s">
        <v>15</v>
      </c>
      <c r="D5" t="s">
        <v>20</v>
      </c>
      <c r="E5" t="s">
        <v>19</v>
      </c>
      <c r="F5">
        <v>51</v>
      </c>
      <c r="G5">
        <v>80</v>
      </c>
      <c r="H5">
        <v>13</v>
      </c>
    </row>
    <row r="6" spans="2:8" x14ac:dyDescent="0.3">
      <c r="B6" t="s">
        <v>34</v>
      </c>
      <c r="C6" t="s">
        <v>15</v>
      </c>
      <c r="D6" t="s">
        <v>32</v>
      </c>
      <c r="E6" t="s">
        <v>19</v>
      </c>
      <c r="F6">
        <v>46</v>
      </c>
      <c r="G6">
        <v>60</v>
      </c>
      <c r="H6">
        <v>23</v>
      </c>
    </row>
    <row r="7" spans="2:8" x14ac:dyDescent="0.3">
      <c r="B7" t="s">
        <v>37</v>
      </c>
      <c r="C7" t="s">
        <v>15</v>
      </c>
      <c r="D7" t="s">
        <v>17</v>
      </c>
      <c r="E7" t="s">
        <v>19</v>
      </c>
      <c r="F7">
        <v>54</v>
      </c>
      <c r="G7">
        <v>78</v>
      </c>
      <c r="H7">
        <v>29</v>
      </c>
    </row>
    <row r="8" spans="2:8" x14ac:dyDescent="0.3">
      <c r="B8" t="s">
        <v>38</v>
      </c>
      <c r="C8" t="s">
        <v>15</v>
      </c>
      <c r="D8" t="s">
        <v>17</v>
      </c>
      <c r="E8" t="s">
        <v>24</v>
      </c>
      <c r="F8">
        <v>9</v>
      </c>
      <c r="G8">
        <v>69</v>
      </c>
      <c r="H8">
        <v>8</v>
      </c>
    </row>
    <row r="9" spans="2:8" x14ac:dyDescent="0.3">
      <c r="B9" t="s">
        <v>39</v>
      </c>
      <c r="C9" t="s">
        <v>15</v>
      </c>
      <c r="D9" t="s">
        <v>17</v>
      </c>
      <c r="E9" t="s">
        <v>24</v>
      </c>
      <c r="F9">
        <v>2</v>
      </c>
      <c r="G9">
        <v>78</v>
      </c>
      <c r="H9">
        <v>5</v>
      </c>
    </row>
    <row r="10" spans="2:8" x14ac:dyDescent="0.3">
      <c r="B10" t="s">
        <v>40</v>
      </c>
      <c r="C10" t="s">
        <v>28</v>
      </c>
      <c r="D10" t="s">
        <v>17</v>
      </c>
      <c r="E10" t="s">
        <v>31</v>
      </c>
      <c r="F10">
        <v>45</v>
      </c>
      <c r="G10">
        <v>85</v>
      </c>
      <c r="H10">
        <v>17</v>
      </c>
    </row>
    <row r="11" spans="2:8" x14ac:dyDescent="0.3">
      <c r="B11" t="s">
        <v>41</v>
      </c>
      <c r="C11" t="s">
        <v>11</v>
      </c>
      <c r="D11" t="s">
        <v>32</v>
      </c>
      <c r="E11" t="s">
        <v>19</v>
      </c>
      <c r="F11">
        <v>10</v>
      </c>
      <c r="G11">
        <v>46</v>
      </c>
      <c r="H11">
        <v>10</v>
      </c>
    </row>
    <row r="12" spans="2:8" x14ac:dyDescent="0.3">
      <c r="B12" t="s">
        <v>42</v>
      </c>
      <c r="C12" t="s">
        <v>15</v>
      </c>
      <c r="D12" t="s">
        <v>25</v>
      </c>
      <c r="E12" t="s">
        <v>31</v>
      </c>
      <c r="F12">
        <v>48</v>
      </c>
      <c r="G12">
        <v>94</v>
      </c>
      <c r="H12">
        <v>11</v>
      </c>
    </row>
    <row r="13" spans="2:8" x14ac:dyDescent="0.3">
      <c r="B13" t="s">
        <v>16</v>
      </c>
      <c r="C13" t="s">
        <v>11</v>
      </c>
      <c r="D13" t="s">
        <v>17</v>
      </c>
      <c r="E13" t="s">
        <v>12</v>
      </c>
      <c r="F13">
        <v>1</v>
      </c>
      <c r="G13">
        <v>88</v>
      </c>
      <c r="H13">
        <v>10</v>
      </c>
    </row>
    <row r="14" spans="2:8" x14ac:dyDescent="0.3">
      <c r="B14" t="s">
        <v>43</v>
      </c>
      <c r="C14" t="s">
        <v>15</v>
      </c>
      <c r="D14" t="s">
        <v>17</v>
      </c>
      <c r="E14" t="s">
        <v>31</v>
      </c>
      <c r="F14">
        <v>27</v>
      </c>
      <c r="G14">
        <v>68</v>
      </c>
      <c r="H14">
        <v>12</v>
      </c>
    </row>
    <row r="15" spans="2:8" x14ac:dyDescent="0.3">
      <c r="B15" t="s">
        <v>50</v>
      </c>
      <c r="C15" t="s">
        <v>28</v>
      </c>
      <c r="D15" t="s">
        <v>20</v>
      </c>
      <c r="E15" t="s">
        <v>12</v>
      </c>
      <c r="F15">
        <v>47</v>
      </c>
      <c r="G15">
        <v>62</v>
      </c>
      <c r="H15">
        <v>9</v>
      </c>
    </row>
    <row r="16" spans="2:8" x14ac:dyDescent="0.3">
      <c r="B16" t="s">
        <v>52</v>
      </c>
      <c r="C16" t="s">
        <v>28</v>
      </c>
      <c r="D16" t="s">
        <v>17</v>
      </c>
      <c r="E16" t="s">
        <v>19</v>
      </c>
      <c r="F16">
        <v>45</v>
      </c>
      <c r="G16">
        <v>67</v>
      </c>
      <c r="H16">
        <v>5</v>
      </c>
    </row>
    <row r="17" spans="2:8" x14ac:dyDescent="0.3">
      <c r="B17" t="s">
        <v>18</v>
      </c>
      <c r="C17" t="s">
        <v>15</v>
      </c>
      <c r="D17" t="s">
        <v>20</v>
      </c>
      <c r="E17" t="s">
        <v>19</v>
      </c>
      <c r="F17">
        <v>23</v>
      </c>
      <c r="G17">
        <v>59</v>
      </c>
      <c r="H17">
        <v>13</v>
      </c>
    </row>
    <row r="18" spans="2:8" x14ac:dyDescent="0.3">
      <c r="B18" t="s">
        <v>54</v>
      </c>
      <c r="C18" t="s">
        <v>15</v>
      </c>
      <c r="D18" t="s">
        <v>13</v>
      </c>
      <c r="E18" t="s">
        <v>31</v>
      </c>
      <c r="F18">
        <v>6</v>
      </c>
      <c r="G18">
        <v>44</v>
      </c>
      <c r="H18">
        <v>17</v>
      </c>
    </row>
    <row r="19" spans="2:8" x14ac:dyDescent="0.3">
      <c r="B19" t="s">
        <v>56</v>
      </c>
      <c r="C19" t="s">
        <v>28</v>
      </c>
      <c r="D19" t="s">
        <v>20</v>
      </c>
      <c r="E19" t="s">
        <v>31</v>
      </c>
      <c r="F19">
        <v>4</v>
      </c>
      <c r="G19">
        <v>95</v>
      </c>
      <c r="H19">
        <v>17</v>
      </c>
    </row>
    <row r="20" spans="2:8" x14ac:dyDescent="0.3">
      <c r="B20" t="s">
        <v>57</v>
      </c>
      <c r="C20" t="s">
        <v>15</v>
      </c>
      <c r="D20" t="s">
        <v>17</v>
      </c>
      <c r="E20" t="s">
        <v>31</v>
      </c>
      <c r="F20">
        <v>1</v>
      </c>
      <c r="G20">
        <v>21</v>
      </c>
      <c r="H20">
        <v>26</v>
      </c>
    </row>
    <row r="21" spans="2:8" x14ac:dyDescent="0.3">
      <c r="B21" t="s">
        <v>58</v>
      </c>
      <c r="C21" t="s">
        <v>28</v>
      </c>
      <c r="D21" t="s">
        <v>17</v>
      </c>
      <c r="E21" t="s">
        <v>22</v>
      </c>
      <c r="F21">
        <v>42</v>
      </c>
      <c r="G21">
        <v>85</v>
      </c>
      <c r="H21">
        <v>27</v>
      </c>
    </row>
    <row r="22" spans="2:8" x14ac:dyDescent="0.3">
      <c r="B22" t="s">
        <v>59</v>
      </c>
      <c r="C22" t="s">
        <v>15</v>
      </c>
      <c r="D22" t="s">
        <v>32</v>
      </c>
      <c r="E22" t="s">
        <v>22</v>
      </c>
      <c r="F22">
        <v>18</v>
      </c>
      <c r="G22">
        <v>28</v>
      </c>
      <c r="H22">
        <v>23</v>
      </c>
    </row>
    <row r="23" spans="2:8" x14ac:dyDescent="0.3">
      <c r="B23" t="s">
        <v>61</v>
      </c>
      <c r="C23" t="s">
        <v>28</v>
      </c>
      <c r="D23" t="s">
        <v>20</v>
      </c>
      <c r="E23" t="s">
        <v>12</v>
      </c>
      <c r="F23">
        <v>69</v>
      </c>
      <c r="G23">
        <v>88</v>
      </c>
      <c r="H23">
        <v>1</v>
      </c>
    </row>
    <row r="24" spans="2:8" x14ac:dyDescent="0.3">
      <c r="B24" t="s">
        <v>21</v>
      </c>
      <c r="C24" t="s">
        <v>15</v>
      </c>
      <c r="D24" t="s">
        <v>17</v>
      </c>
      <c r="E24" t="s">
        <v>22</v>
      </c>
      <c r="F24">
        <v>5</v>
      </c>
      <c r="G24">
        <v>56</v>
      </c>
      <c r="H24">
        <v>3</v>
      </c>
    </row>
    <row r="25" spans="2:8" x14ac:dyDescent="0.3">
      <c r="B25" t="s">
        <v>65</v>
      </c>
      <c r="C25" t="s">
        <v>15</v>
      </c>
      <c r="D25" t="s">
        <v>20</v>
      </c>
      <c r="E25" t="s">
        <v>24</v>
      </c>
      <c r="F25">
        <v>22</v>
      </c>
      <c r="G25">
        <v>57</v>
      </c>
      <c r="H25">
        <v>27</v>
      </c>
    </row>
    <row r="26" spans="2:8" x14ac:dyDescent="0.3">
      <c r="B26" t="s">
        <v>66</v>
      </c>
      <c r="C26" t="s">
        <v>11</v>
      </c>
      <c r="D26" t="s">
        <v>20</v>
      </c>
      <c r="E26" t="s">
        <v>12</v>
      </c>
      <c r="F26">
        <v>36</v>
      </c>
      <c r="G26">
        <v>85</v>
      </c>
      <c r="H26">
        <v>29</v>
      </c>
    </row>
    <row r="27" spans="2:8" x14ac:dyDescent="0.3">
      <c r="B27" t="s">
        <v>67</v>
      </c>
      <c r="C27" t="s">
        <v>28</v>
      </c>
      <c r="D27" t="s">
        <v>32</v>
      </c>
      <c r="E27" t="s">
        <v>22</v>
      </c>
      <c r="F27">
        <v>13</v>
      </c>
      <c r="G27">
        <v>72</v>
      </c>
      <c r="H27">
        <v>19</v>
      </c>
    </row>
    <row r="28" spans="2:8" x14ac:dyDescent="0.3">
      <c r="B28" t="s">
        <v>70</v>
      </c>
      <c r="C28" t="s">
        <v>15</v>
      </c>
      <c r="D28" t="s">
        <v>17</v>
      </c>
      <c r="E28" t="s">
        <v>19</v>
      </c>
      <c r="F28">
        <v>4</v>
      </c>
      <c r="G28">
        <v>51</v>
      </c>
      <c r="H28">
        <v>15</v>
      </c>
    </row>
    <row r="29" spans="2:8" x14ac:dyDescent="0.3">
      <c r="B29" t="s">
        <v>73</v>
      </c>
      <c r="C29" t="s">
        <v>28</v>
      </c>
      <c r="D29" t="s">
        <v>32</v>
      </c>
      <c r="E29" t="s">
        <v>22</v>
      </c>
      <c r="F29">
        <v>31</v>
      </c>
      <c r="G29">
        <v>82</v>
      </c>
      <c r="H29">
        <v>23</v>
      </c>
    </row>
    <row r="30" spans="2:8" x14ac:dyDescent="0.3">
      <c r="B30" t="s">
        <v>77</v>
      </c>
      <c r="C30" t="s">
        <v>11</v>
      </c>
      <c r="D30" t="s">
        <v>17</v>
      </c>
      <c r="E30" t="s">
        <v>19</v>
      </c>
      <c r="F30">
        <v>33</v>
      </c>
      <c r="G30">
        <v>61</v>
      </c>
      <c r="H30">
        <v>22</v>
      </c>
    </row>
    <row r="31" spans="2:8" x14ac:dyDescent="0.3">
      <c r="B31" t="s">
        <v>79</v>
      </c>
      <c r="C31" t="s">
        <v>15</v>
      </c>
      <c r="D31" t="s">
        <v>17</v>
      </c>
      <c r="E31" t="s">
        <v>12</v>
      </c>
      <c r="F31">
        <v>25</v>
      </c>
      <c r="G31">
        <v>83</v>
      </c>
      <c r="H31">
        <v>23</v>
      </c>
    </row>
    <row r="32" spans="2:8" x14ac:dyDescent="0.3">
      <c r="B32" t="s">
        <v>80</v>
      </c>
      <c r="C32" t="s">
        <v>11</v>
      </c>
      <c r="D32" t="s">
        <v>32</v>
      </c>
      <c r="E32" t="s">
        <v>22</v>
      </c>
      <c r="F32">
        <v>5</v>
      </c>
      <c r="G32">
        <v>51</v>
      </c>
      <c r="H32">
        <v>18</v>
      </c>
    </row>
    <row r="33" spans="2:8" x14ac:dyDescent="0.3">
      <c r="B33" t="s">
        <v>81</v>
      </c>
      <c r="C33" t="s">
        <v>15</v>
      </c>
      <c r="D33" t="s">
        <v>13</v>
      </c>
      <c r="E33" t="s">
        <v>22</v>
      </c>
      <c r="F33">
        <v>10</v>
      </c>
      <c r="G33">
        <v>44</v>
      </c>
      <c r="H33">
        <v>5</v>
      </c>
    </row>
    <row r="34" spans="2:8" x14ac:dyDescent="0.3">
      <c r="B34" t="s">
        <v>26</v>
      </c>
      <c r="C34" t="s">
        <v>15</v>
      </c>
      <c r="D34" t="s">
        <v>13</v>
      </c>
      <c r="E34" t="s">
        <v>19</v>
      </c>
      <c r="F34">
        <v>11</v>
      </c>
      <c r="G34">
        <v>58</v>
      </c>
      <c r="H34">
        <v>15</v>
      </c>
    </row>
    <row r="35" spans="2:8" x14ac:dyDescent="0.3">
      <c r="B35" t="s">
        <v>83</v>
      </c>
      <c r="C35" t="s">
        <v>15</v>
      </c>
      <c r="D35" t="s">
        <v>25</v>
      </c>
      <c r="E35" t="s">
        <v>12</v>
      </c>
      <c r="F35">
        <v>41</v>
      </c>
      <c r="G35">
        <v>72</v>
      </c>
      <c r="H35">
        <v>27</v>
      </c>
    </row>
    <row r="36" spans="2:8" x14ac:dyDescent="0.3">
      <c r="B36" t="s">
        <v>84</v>
      </c>
      <c r="C36" t="s">
        <v>11</v>
      </c>
      <c r="D36" t="s">
        <v>25</v>
      </c>
      <c r="E36" t="s">
        <v>19</v>
      </c>
      <c r="F36">
        <v>32</v>
      </c>
      <c r="G36">
        <v>36</v>
      </c>
      <c r="H36">
        <v>23</v>
      </c>
    </row>
    <row r="37" spans="2:8" x14ac:dyDescent="0.3">
      <c r="B37" t="s">
        <v>87</v>
      </c>
      <c r="C37" t="s">
        <v>15</v>
      </c>
      <c r="D37" t="s">
        <v>17</v>
      </c>
      <c r="E37" t="s">
        <v>22</v>
      </c>
      <c r="F37">
        <v>73</v>
      </c>
      <c r="G37">
        <v>75</v>
      </c>
      <c r="H37">
        <v>27</v>
      </c>
    </row>
    <row r="38" spans="2:8" x14ac:dyDescent="0.3">
      <c r="B38" t="s">
        <v>89</v>
      </c>
      <c r="C38" t="s">
        <v>15</v>
      </c>
      <c r="D38" t="s">
        <v>20</v>
      </c>
      <c r="E38" t="s">
        <v>19</v>
      </c>
      <c r="F38">
        <v>13</v>
      </c>
      <c r="G38">
        <v>19</v>
      </c>
      <c r="H38">
        <v>17</v>
      </c>
    </row>
    <row r="39" spans="2:8" x14ac:dyDescent="0.3">
      <c r="B39" t="s">
        <v>90</v>
      </c>
      <c r="C39" t="s">
        <v>15</v>
      </c>
      <c r="D39" t="s">
        <v>17</v>
      </c>
      <c r="E39" t="s">
        <v>12</v>
      </c>
      <c r="F39">
        <v>12</v>
      </c>
      <c r="G39">
        <v>71</v>
      </c>
      <c r="H39">
        <v>9</v>
      </c>
    </row>
    <row r="40" spans="2:8" x14ac:dyDescent="0.3">
      <c r="B40" t="s">
        <v>91</v>
      </c>
      <c r="C40" t="s">
        <v>11</v>
      </c>
      <c r="D40" t="s">
        <v>32</v>
      </c>
      <c r="E40" t="s">
        <v>24</v>
      </c>
      <c r="F40">
        <v>0</v>
      </c>
      <c r="G40">
        <v>58</v>
      </c>
      <c r="H40">
        <v>8</v>
      </c>
    </row>
    <row r="41" spans="2:8" x14ac:dyDescent="0.3">
      <c r="B41" t="s">
        <v>93</v>
      </c>
      <c r="C41" t="s">
        <v>11</v>
      </c>
      <c r="D41" t="s">
        <v>17</v>
      </c>
      <c r="E41" t="s">
        <v>24</v>
      </c>
      <c r="F41">
        <v>10</v>
      </c>
      <c r="G41">
        <v>22</v>
      </c>
      <c r="H41">
        <v>12</v>
      </c>
    </row>
    <row r="42" spans="2:8" x14ac:dyDescent="0.3">
      <c r="B42" t="s">
        <v>95</v>
      </c>
      <c r="C42" t="s">
        <v>28</v>
      </c>
      <c r="D42" t="s">
        <v>17</v>
      </c>
      <c r="E42" t="s">
        <v>24</v>
      </c>
      <c r="F42">
        <v>57</v>
      </c>
      <c r="G42">
        <v>77</v>
      </c>
      <c r="H42">
        <v>29</v>
      </c>
    </row>
    <row r="43" spans="2:8" x14ac:dyDescent="0.3">
      <c r="B43" t="s">
        <v>96</v>
      </c>
      <c r="C43" t="s">
        <v>28</v>
      </c>
      <c r="D43" t="s">
        <v>25</v>
      </c>
      <c r="E43" t="s">
        <v>31</v>
      </c>
      <c r="F43">
        <v>17</v>
      </c>
      <c r="G43">
        <v>66</v>
      </c>
      <c r="H43">
        <v>25</v>
      </c>
    </row>
    <row r="44" spans="2:8" x14ac:dyDescent="0.3">
      <c r="B44" t="s">
        <v>98</v>
      </c>
      <c r="C44" t="s">
        <v>15</v>
      </c>
      <c r="D44" t="s">
        <v>17</v>
      </c>
      <c r="E44" t="s">
        <v>31</v>
      </c>
      <c r="F44">
        <v>16</v>
      </c>
      <c r="G44">
        <v>56</v>
      </c>
      <c r="H44">
        <v>20</v>
      </c>
    </row>
    <row r="45" spans="2:8" x14ac:dyDescent="0.3">
      <c r="B45" t="s">
        <v>101</v>
      </c>
      <c r="C45" t="s">
        <v>11</v>
      </c>
      <c r="D45" t="s">
        <v>20</v>
      </c>
      <c r="E45" t="s">
        <v>12</v>
      </c>
      <c r="F45">
        <v>5</v>
      </c>
      <c r="G45">
        <v>51</v>
      </c>
      <c r="H45">
        <v>4</v>
      </c>
    </row>
    <row r="46" spans="2:8" x14ac:dyDescent="0.3">
      <c r="B46" t="s">
        <v>29</v>
      </c>
      <c r="C46" t="s">
        <v>28</v>
      </c>
      <c r="D46" t="s">
        <v>25</v>
      </c>
      <c r="E46" t="s">
        <v>12</v>
      </c>
      <c r="F46">
        <v>5</v>
      </c>
      <c r="G46">
        <v>15</v>
      </c>
      <c r="H46">
        <v>10</v>
      </c>
    </row>
    <row r="47" spans="2:8" x14ac:dyDescent="0.3">
      <c r="B47" t="s">
        <v>103</v>
      </c>
      <c r="C47" t="s">
        <v>15</v>
      </c>
      <c r="D47" t="s">
        <v>13</v>
      </c>
      <c r="E47" t="s">
        <v>31</v>
      </c>
      <c r="F47">
        <v>39</v>
      </c>
      <c r="G47">
        <v>41</v>
      </c>
      <c r="H47">
        <v>14</v>
      </c>
    </row>
    <row r="48" spans="2:8" x14ac:dyDescent="0.3">
      <c r="B48" t="s">
        <v>105</v>
      </c>
      <c r="C48" t="s">
        <v>15</v>
      </c>
      <c r="D48" t="s">
        <v>32</v>
      </c>
      <c r="E48" t="s">
        <v>12</v>
      </c>
      <c r="F48">
        <v>42</v>
      </c>
      <c r="G48">
        <v>72</v>
      </c>
      <c r="H48">
        <v>19</v>
      </c>
    </row>
    <row r="49" spans="2:8" x14ac:dyDescent="0.3">
      <c r="B49" t="s">
        <v>107</v>
      </c>
      <c r="C49" t="s">
        <v>11</v>
      </c>
      <c r="D49" t="s">
        <v>20</v>
      </c>
      <c r="E49" t="s">
        <v>31</v>
      </c>
      <c r="F49">
        <v>73</v>
      </c>
      <c r="G49">
        <v>80</v>
      </c>
      <c r="H49">
        <v>26</v>
      </c>
    </row>
    <row r="50" spans="2:8" x14ac:dyDescent="0.3">
      <c r="B50" t="s">
        <v>108</v>
      </c>
      <c r="C50" t="s">
        <v>28</v>
      </c>
      <c r="D50" t="s">
        <v>20</v>
      </c>
      <c r="E50" t="s">
        <v>31</v>
      </c>
      <c r="F50">
        <v>15</v>
      </c>
      <c r="G50">
        <v>66</v>
      </c>
      <c r="H50">
        <v>18</v>
      </c>
    </row>
    <row r="51" spans="2:8" x14ac:dyDescent="0.3">
      <c r="B51" t="s">
        <v>110</v>
      </c>
      <c r="C51" t="s">
        <v>11</v>
      </c>
      <c r="D51" t="s">
        <v>13</v>
      </c>
      <c r="E51" t="s">
        <v>31</v>
      </c>
      <c r="F51">
        <v>5</v>
      </c>
      <c r="G51">
        <v>55</v>
      </c>
      <c r="H51">
        <v>7</v>
      </c>
    </row>
    <row r="52" spans="2:8" x14ac:dyDescent="0.3">
      <c r="B52" t="s">
        <v>111</v>
      </c>
      <c r="C52" t="s">
        <v>28</v>
      </c>
      <c r="D52" t="s">
        <v>32</v>
      </c>
      <c r="E52" t="s">
        <v>12</v>
      </c>
      <c r="F52">
        <v>60</v>
      </c>
      <c r="G52">
        <v>85</v>
      </c>
      <c r="H52">
        <v>18</v>
      </c>
    </row>
    <row r="53" spans="2:8" x14ac:dyDescent="0.3">
      <c r="B53" t="s">
        <v>30</v>
      </c>
      <c r="C53" t="s">
        <v>15</v>
      </c>
      <c r="D53" t="s">
        <v>32</v>
      </c>
      <c r="E53" t="s">
        <v>31</v>
      </c>
      <c r="F53">
        <v>14</v>
      </c>
      <c r="G53">
        <v>83</v>
      </c>
      <c r="H53">
        <v>27</v>
      </c>
    </row>
    <row r="54" spans="2:8" x14ac:dyDescent="0.3">
      <c r="B54" t="s">
        <v>113</v>
      </c>
      <c r="C54" t="s">
        <v>15</v>
      </c>
      <c r="D54" t="s">
        <v>13</v>
      </c>
      <c r="E54" t="s">
        <v>24</v>
      </c>
      <c r="F54">
        <v>66</v>
      </c>
      <c r="G54">
        <v>96</v>
      </c>
      <c r="H54">
        <v>18</v>
      </c>
    </row>
    <row r="55" spans="2:8" x14ac:dyDescent="0.3">
      <c r="B55" t="s">
        <v>116</v>
      </c>
      <c r="C55" t="s">
        <v>11</v>
      </c>
      <c r="D55" t="s">
        <v>25</v>
      </c>
      <c r="E55" t="s">
        <v>31</v>
      </c>
      <c r="F55">
        <v>63</v>
      </c>
      <c r="G55">
        <v>66</v>
      </c>
      <c r="H55">
        <v>17</v>
      </c>
    </row>
    <row r="56" spans="2:8" x14ac:dyDescent="0.3">
      <c r="B56" t="s">
        <v>118</v>
      </c>
      <c r="C56" t="s">
        <v>11</v>
      </c>
      <c r="D56" t="s">
        <v>25</v>
      </c>
      <c r="E56" t="s">
        <v>12</v>
      </c>
      <c r="F56">
        <v>15</v>
      </c>
      <c r="G56">
        <v>26</v>
      </c>
      <c r="H56">
        <v>14</v>
      </c>
    </row>
    <row r="57" spans="2:8" x14ac:dyDescent="0.3">
      <c r="B57" t="s">
        <v>122</v>
      </c>
      <c r="C57" t="s">
        <v>11</v>
      </c>
      <c r="D57" t="s">
        <v>32</v>
      </c>
      <c r="E57" t="s">
        <v>31</v>
      </c>
      <c r="F57">
        <v>55</v>
      </c>
      <c r="G57">
        <v>59</v>
      </c>
      <c r="H57">
        <v>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ADBEBCD3-E3B9-4809-BF96-ECCC558CEDB9}">
  <ds:schemaRefs/>
</ds:datastoreItem>
</file>

<file path=customXml/itemProps2.xml><?xml version="1.0" encoding="utf-8"?>
<ds:datastoreItem xmlns:ds="http://schemas.openxmlformats.org/officeDocument/2006/customXml" ds:itemID="{86C9C33E-6503-4FFB-84C8-C124306FE85F}">
  <ds:schemaRefs/>
</ds:datastoreItem>
</file>

<file path=customXml/itemProps3.xml><?xml version="1.0" encoding="utf-8"?>
<ds:datastoreItem xmlns:ds="http://schemas.openxmlformats.org/officeDocument/2006/customXml" ds:itemID="{F1DE51F5-A184-421D-A6CE-8C8BBB27E833}">
  <ds:schemaRefs/>
</ds:datastoreItem>
</file>

<file path=customXml/itemProps4.xml><?xml version="1.0" encoding="utf-8"?>
<ds:datastoreItem xmlns:ds="http://schemas.openxmlformats.org/officeDocument/2006/customXml" ds:itemID="{DA3154C6-0035-47BA-AA8E-699066975CD0}">
  <ds:schemaRefs/>
</ds:datastoreItem>
</file>

<file path=customXml/itemProps5.xml><?xml version="1.0" encoding="utf-8"?>
<ds:datastoreItem xmlns:ds="http://schemas.openxmlformats.org/officeDocument/2006/customXml" ds:itemID="{9C881A04-5C1D-4CF3-9E57-E5011E162AD5}">
  <ds:schemaRefs/>
</ds:datastoreItem>
</file>

<file path=customXml/itemProps6.xml><?xml version="1.0" encoding="utf-8"?>
<ds:datastoreItem xmlns:ds="http://schemas.openxmlformats.org/officeDocument/2006/customXml" ds:itemID="{788B4E1D-12D4-4F6A-86E1-DD8AC3E98ADD}">
  <ds:schemaRefs/>
</ds:datastoreItem>
</file>

<file path=customXml/itemProps7.xml><?xml version="1.0" encoding="utf-8"?>
<ds:datastoreItem xmlns:ds="http://schemas.openxmlformats.org/officeDocument/2006/customXml" ds:itemID="{484BE1EB-E21C-4FE5-9F34-A11677B6752E}">
  <ds:schemaRefs/>
</ds:datastoreItem>
</file>

<file path=customXml/itemProps8.xml><?xml version="1.0" encoding="utf-8"?>
<ds:datastoreItem xmlns:ds="http://schemas.openxmlformats.org/officeDocument/2006/customXml" ds:itemID="{85684CD4-FF22-4AF8-84CB-89975F345332}">
  <ds:schemaRefs/>
</ds:datastoreItem>
</file>

<file path=customXml/itemProps9.xml><?xml version="1.0" encoding="utf-8"?>
<ds:datastoreItem xmlns:ds="http://schemas.openxmlformats.org/officeDocument/2006/customXml" ds:itemID="{5760480D-A59A-4B30-B53C-6248584B0CD8}">
  <ds:schemaRefs/>
</ds:datastoreItem>
</file>

<file path=customXml/itemProps10.xml><?xml version="1.0" encoding="utf-8"?>
<ds:datastoreItem xmlns:ds="http://schemas.openxmlformats.org/officeDocument/2006/customXml" ds:itemID="{379D5C05-B427-4A7E-BF79-EE79872481CB}">
  <ds:schemaRefs/>
</ds:datastoreItem>
</file>

<file path=customXml/itemProps11.xml><?xml version="1.0" encoding="utf-8"?>
<ds:datastoreItem xmlns:ds="http://schemas.openxmlformats.org/officeDocument/2006/customXml" ds:itemID="{19123008-664A-4367-A6E8-B5AF71003B1D}">
  <ds:schemaRefs/>
</ds:datastoreItem>
</file>

<file path=customXml/itemProps12.xml><?xml version="1.0" encoding="utf-8"?>
<ds:datastoreItem xmlns:ds="http://schemas.openxmlformats.org/officeDocument/2006/customXml" ds:itemID="{ACA44F26-A6E5-4990-B118-2E8355D70FF4}">
  <ds:schemaRefs/>
</ds:datastoreItem>
</file>

<file path=customXml/itemProps13.xml><?xml version="1.0" encoding="utf-8"?>
<ds:datastoreItem xmlns:ds="http://schemas.openxmlformats.org/officeDocument/2006/customXml" ds:itemID="{9568C383-063E-4A9B-B49D-643A5D4BB16A}">
  <ds:schemaRefs/>
</ds:datastoreItem>
</file>

<file path=customXml/itemProps14.xml><?xml version="1.0" encoding="utf-8"?>
<ds:datastoreItem xmlns:ds="http://schemas.openxmlformats.org/officeDocument/2006/customXml" ds:itemID="{2232E398-1DBA-46C7-838C-2F3000CCBAB6}">
  <ds:schemaRefs/>
</ds:datastoreItem>
</file>

<file path=customXml/itemProps15.xml><?xml version="1.0" encoding="utf-8"?>
<ds:datastoreItem xmlns:ds="http://schemas.openxmlformats.org/officeDocument/2006/customXml" ds:itemID="{69951B2C-8021-4E33-9AC2-438F6610FBF8}">
  <ds:schemaRefs/>
</ds:datastoreItem>
</file>

<file path=customXml/itemProps16.xml><?xml version="1.0" encoding="utf-8"?>
<ds:datastoreItem xmlns:ds="http://schemas.openxmlformats.org/officeDocument/2006/customXml" ds:itemID="{FCCC412D-75BE-4AED-9ACF-6EBA94303CF9}">
  <ds:schemaRefs>
    <ds:schemaRef ds:uri="http://schemas.microsoft.com/DataMashup"/>
  </ds:schemaRefs>
</ds:datastoreItem>
</file>

<file path=customXml/itemProps17.xml><?xml version="1.0" encoding="utf-8"?>
<ds:datastoreItem xmlns:ds="http://schemas.openxmlformats.org/officeDocument/2006/customXml" ds:itemID="{24B20C76-AB3B-4823-8A14-D03AEB9C291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Inventory_Data</vt:lpstr>
      <vt:lpstr>Inventory_Management</vt:lpstr>
      <vt:lpstr>Order_Summary</vt:lpstr>
      <vt:lpstr>KPIs</vt:lpstr>
      <vt:lpstr>Product _Inventory_Value</vt:lpstr>
      <vt:lpstr>Top_10_Best_Seller</vt:lpstr>
      <vt:lpstr>Supplier_Lead_Time</vt:lpstr>
      <vt:lpstr>Product_Profitability</vt:lpstr>
      <vt:lpstr>Reorder_Alert_List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MANDI</dc:creator>
  <cp:lastModifiedBy>RAJESH MANDI</cp:lastModifiedBy>
  <cp:lastPrinted>2026-09-13T13:05:23Z</cp:lastPrinted>
  <dcterms:created xsi:type="dcterms:W3CDTF">2026-08-29T17:58:06Z</dcterms:created>
  <dcterms:modified xsi:type="dcterms:W3CDTF">2026-09-17T16:02:20Z</dcterms:modified>
</cp:coreProperties>
</file>